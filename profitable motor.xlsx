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A12E513-8F85-4329-A253-F27ABF6B5A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J3" i="1"/>
  <c r="J4" i="1"/>
  <c r="J5" i="1"/>
  <c r="J6" i="1"/>
  <c r="J7" i="1"/>
  <c r="J8" i="1"/>
  <c r="J9" i="1"/>
  <c r="J10" i="1"/>
  <c r="I3" i="1"/>
  <c r="I4" i="1"/>
  <c r="I5" i="1"/>
  <c r="I6" i="1"/>
  <c r="I7" i="1"/>
  <c r="I8" i="1"/>
  <c r="I9" i="1"/>
  <c r="I10" i="1"/>
  <c r="H4" i="1"/>
  <c r="H5" i="1"/>
  <c r="H6" i="1"/>
  <c r="H7" i="1"/>
  <c r="H8" i="1"/>
  <c r="H9" i="1"/>
  <c r="H10" i="1"/>
  <c r="H3" i="1"/>
  <c r="H2" i="1"/>
  <c r="G4" i="1"/>
  <c r="G5" i="1"/>
  <c r="G6" i="1"/>
  <c r="G7" i="1"/>
  <c r="G8" i="1"/>
  <c r="G9" i="1"/>
  <c r="G10" i="1"/>
  <c r="G3" i="1"/>
  <c r="G2" i="1"/>
  <c r="F4" i="1"/>
  <c r="F5" i="1"/>
  <c r="F6" i="1"/>
  <c r="F7" i="1"/>
  <c r="F8" i="1"/>
  <c r="F9" i="1"/>
  <c r="F10" i="1"/>
  <c r="F3" i="1"/>
  <c r="F2" i="1"/>
  <c r="D14" i="1"/>
  <c r="C14" i="1"/>
  <c r="B14" i="1"/>
  <c r="D13" i="1"/>
  <c r="C13" i="1"/>
  <c r="B13" i="1"/>
  <c r="B6" i="1"/>
  <c r="B5" i="1"/>
  <c r="B3" i="1"/>
  <c r="B4" i="1"/>
  <c r="J2" i="1" l="1"/>
  <c r="K2" i="1"/>
  <c r="I2" i="1"/>
</calcChain>
</file>

<file path=xl/sharedStrings.xml><?xml version="1.0" encoding="utf-8"?>
<sst xmlns="http://schemas.openxmlformats.org/spreadsheetml/2006/main" count="22" uniqueCount="19">
  <si>
    <t xml:space="preserve">energy cost per kilo watt hours power </t>
  </si>
  <si>
    <t>alpha</t>
  </si>
  <si>
    <t>beta</t>
  </si>
  <si>
    <t>gamma</t>
  </si>
  <si>
    <t xml:space="preserve">1 hp in kw equal </t>
  </si>
  <si>
    <t xml:space="preserve">motor give 100 hp in kw </t>
  </si>
  <si>
    <t xml:space="preserve">power given from each motor in hp </t>
  </si>
  <si>
    <t xml:space="preserve">intrest rate </t>
  </si>
  <si>
    <t xml:space="preserve">study period </t>
  </si>
  <si>
    <t>item /comp</t>
  </si>
  <si>
    <t>price</t>
  </si>
  <si>
    <t>annual maintenance</t>
  </si>
  <si>
    <t>efficincy</t>
  </si>
  <si>
    <t xml:space="preserve">input power </t>
  </si>
  <si>
    <t>energy cost per kilo watt in hr</t>
  </si>
  <si>
    <t>hr</t>
  </si>
  <si>
    <t>alpha-beta</t>
  </si>
  <si>
    <t>alpha-gamma</t>
  </si>
  <si>
    <t>beta-gamma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</si>
</sst>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607059588755587E-2"/>
          <c:y val="0.19464214623898879"/>
          <c:w val="0.88679666350606701"/>
          <c:h val="0.65190331480468477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alpha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Sheet1!$E$2:$E$10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cat>
          <c:val>
            <c:numRef>
              <c:f>Sheet1!$F$2:$F$10</c:f>
              <c:numCache>
                <c:formatCode>General</c:formatCode>
                <c:ptCount val="9"/>
                <c:pt idx="0">
                  <c:v>3783.1555246152834</c:v>
                </c:pt>
                <c:pt idx="1">
                  <c:v>8823.6960651558238</c:v>
                </c:pt>
                <c:pt idx="2">
                  <c:v>13864.236605696364</c:v>
                </c:pt>
                <c:pt idx="3">
                  <c:v>18904.777146236906</c:v>
                </c:pt>
                <c:pt idx="4">
                  <c:v>23945.317686777442</c:v>
                </c:pt>
                <c:pt idx="5">
                  <c:v>28985.858227317985</c:v>
                </c:pt>
                <c:pt idx="6">
                  <c:v>34026.398767858525</c:v>
                </c:pt>
                <c:pt idx="7">
                  <c:v>39066.939308399065</c:v>
                </c:pt>
                <c:pt idx="8">
                  <c:v>44107.479848939605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7-4869-A7CD-0250DDE7BE26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beta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Sheet1!$E$2:$E$10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cat>
          <c:val>
            <c:numRef>
              <c:f>Sheet1!$G$2:$G$10</c:f>
              <c:numCache>
                <c:formatCode>General</c:formatCode>
                <c:ptCount val="9"/>
                <c:pt idx="0">
                  <c:v>4974.7332869229249</c:v>
                </c:pt>
                <c:pt idx="1">
                  <c:v>9311.9425892485069</c:v>
                </c:pt>
                <c:pt idx="2">
                  <c:v>13649.151891574089</c:v>
                </c:pt>
                <c:pt idx="3">
                  <c:v>17986.361193899669</c:v>
                </c:pt>
                <c:pt idx="4">
                  <c:v>22323.570496225253</c:v>
                </c:pt>
                <c:pt idx="5">
                  <c:v>26660.779798550833</c:v>
                </c:pt>
                <c:pt idx="6">
                  <c:v>30997.989100876417</c:v>
                </c:pt>
                <c:pt idx="7">
                  <c:v>35335.198403201997</c:v>
                </c:pt>
                <c:pt idx="8">
                  <c:v>39672.407705527585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7-4869-A7CD-0250DDE7BE26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gamma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Sheet1!$E$2:$E$10</c:f>
              <c:numCache>
                <c:formatCode>General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cat>
          <c:val>
            <c:numRef>
              <c:f>Sheet1!$H$2:$H$10</c:f>
              <c:numCache>
                <c:formatCode>General</c:formatCode>
                <c:ptCount val="9"/>
                <c:pt idx="0">
                  <c:v>6216.3110492305668</c:v>
                </c:pt>
                <c:pt idx="1">
                  <c:v>10270.658875317524</c:v>
                </c:pt>
                <c:pt idx="2">
                  <c:v>14325.00670140448</c:v>
                </c:pt>
                <c:pt idx="3">
                  <c:v>18379.354527491436</c:v>
                </c:pt>
                <c:pt idx="4">
                  <c:v>22433.702353578392</c:v>
                </c:pt>
                <c:pt idx="5">
                  <c:v>26488.050179665348</c:v>
                </c:pt>
                <c:pt idx="6">
                  <c:v>30542.398005752304</c:v>
                </c:pt>
                <c:pt idx="7">
                  <c:v>34596.74583183926</c:v>
                </c:pt>
                <c:pt idx="8">
                  <c:v>38651.093657926212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7-4869-A7CD-0250DDE7B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598255"/>
        <c:axId val="233599087"/>
      </c:lineChart>
      <c:catAx>
        <c:axId val="233598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99087"/>
        <c:crosses val="autoZero"/>
        <c:auto val="1"/>
        <c:lblAlgn val="ctr"/>
        <c:lblOffset val="100"/>
        <c:noMultiLvlLbl val="0"/>
      </c:catAx>
      <c:valAx>
        <c:axId val="233599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9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11</xdr:row>
      <xdr:rowOff>4762</xdr:rowOff>
    </xdr:from>
    <xdr:to>
      <xdr:col>10</xdr:col>
      <xdr:colOff>914400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30A06-5B04-8C64-EC40-868F80EF8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6" workbookViewId="0">
      <selection activeCell="K26" sqref="K26"/>
    </sheetView>
  </sheetViews>
  <sheetFormatPr defaultRowHeight="15" x14ac:dyDescent="0.25"/>
  <cols>
    <col min="1" max="1" width="33.28515625" customWidth="1"/>
    <col min="9" max="9" width="15.7109375" customWidth="1"/>
    <col min="10" max="10" width="16" customWidth="1"/>
    <col min="11" max="11" width="13.85546875" customWidth="1"/>
  </cols>
  <sheetData>
    <row r="1" spans="1:11" x14ac:dyDescent="0.25">
      <c r="A1" t="s">
        <v>0</v>
      </c>
      <c r="B1">
        <v>0.05</v>
      </c>
      <c r="E1" t="s">
        <v>15</v>
      </c>
      <c r="F1" t="s">
        <v>1</v>
      </c>
      <c r="G1" t="s">
        <v>2</v>
      </c>
      <c r="H1" t="s">
        <v>3</v>
      </c>
      <c r="I1" t="s">
        <v>16</v>
      </c>
      <c r="J1" t="s">
        <v>17</v>
      </c>
      <c r="K1" t="s">
        <v>18</v>
      </c>
    </row>
    <row r="2" spans="1:11" x14ac:dyDescent="0.25">
      <c r="A2" t="s">
        <v>4</v>
      </c>
      <c r="B2">
        <v>0.746</v>
      </c>
      <c r="E2">
        <v>0</v>
      </c>
      <c r="F2">
        <f>(PMT($B$5,$B$6,-$B$10))+($B$11)+($B$14*E2)</f>
        <v>3783.1555246152834</v>
      </c>
      <c r="G2">
        <f>(PMT($B$5,$B$6,-$C$10))+$C$11+($C$14*E2)</f>
        <v>4974.7332869229249</v>
      </c>
      <c r="H2">
        <f>(PMT($B$5,$B$6,-$D$10)) +($D$11)+($D$14*E2)</f>
        <v>6216.3110492305668</v>
      </c>
      <c r="I2">
        <f>F2-G2</f>
        <v>-1191.5777623076415</v>
      </c>
      <c r="J2">
        <f>F2-H2</f>
        <v>-2433.1555246152834</v>
      </c>
      <c r="K2">
        <f>G2-H2</f>
        <v>-1241.5777623076419</v>
      </c>
    </row>
    <row r="3" spans="1:11" x14ac:dyDescent="0.25">
      <c r="A3" t="s">
        <v>5</v>
      </c>
      <c r="B3">
        <f>B2*B4</f>
        <v>74.599999999999994</v>
      </c>
      <c r="E3">
        <v>1000</v>
      </c>
      <c r="F3">
        <f>(PMT($B$5,$B$6,-$B$10))+($B$11)+($B$14*E3)</f>
        <v>8823.6960651558238</v>
      </c>
      <c r="G3">
        <f>(PMT($B$5,$B$6,-$C$10))+$C$11+($C$14*E3)</f>
        <v>9311.9425892485069</v>
      </c>
      <c r="H3">
        <f>(PMT($B$5,$B$6,-$D$10)) +($D$11)+($D$14*E3)</f>
        <v>10270.658875317524</v>
      </c>
      <c r="I3">
        <f t="shared" ref="I3:I10" si="0">F3-G3</f>
        <v>-488.2465240926831</v>
      </c>
      <c r="J3">
        <f t="shared" ref="J3:J10" si="1">F3-H3</f>
        <v>-1446.9628101617</v>
      </c>
      <c r="K3">
        <f t="shared" ref="K3:K10" si="2">G3-H3</f>
        <v>-958.71628606901686</v>
      </c>
    </row>
    <row r="4" spans="1:11" x14ac:dyDescent="0.25">
      <c r="A4" t="s">
        <v>6</v>
      </c>
      <c r="B4">
        <f>100</f>
        <v>100</v>
      </c>
      <c r="E4">
        <v>2000</v>
      </c>
      <c r="F4">
        <f t="shared" ref="F4:F10" si="3">(PMT($B$5,$B$6,-$B$10))+($B$11)+($B$14*E4)</f>
        <v>13864.236605696364</v>
      </c>
      <c r="G4">
        <f t="shared" ref="G4:G10" si="4">(PMT($B$5,$B$6,-$C$10))+$C$11+($C$14*E4)</f>
        <v>13649.151891574089</v>
      </c>
      <c r="H4">
        <f t="shared" ref="H4:H10" si="5">(PMT($B$5,$B$6,-$D$10)) +($D$11)+($D$14*E4)</f>
        <v>14325.00670140448</v>
      </c>
      <c r="I4">
        <f t="shared" si="0"/>
        <v>215.08471412227482</v>
      </c>
      <c r="J4">
        <f t="shared" si="1"/>
        <v>-460.77009570811606</v>
      </c>
      <c r="K4">
        <f t="shared" si="2"/>
        <v>-675.85480983039088</v>
      </c>
    </row>
    <row r="5" spans="1:11" x14ac:dyDescent="0.25">
      <c r="A5" t="s">
        <v>7</v>
      </c>
      <c r="B5">
        <f>0.15</f>
        <v>0.15</v>
      </c>
      <c r="E5">
        <v>3000</v>
      </c>
      <c r="F5">
        <f t="shared" si="3"/>
        <v>18904.777146236906</v>
      </c>
      <c r="G5">
        <f t="shared" si="4"/>
        <v>17986.361193899669</v>
      </c>
      <c r="H5">
        <f t="shared" si="5"/>
        <v>18379.354527491436</v>
      </c>
      <c r="I5">
        <f t="shared" si="0"/>
        <v>918.41595233723638</v>
      </c>
      <c r="J5">
        <f t="shared" si="1"/>
        <v>525.42261874546966</v>
      </c>
      <c r="K5">
        <f t="shared" si="2"/>
        <v>-392.99333359176671</v>
      </c>
    </row>
    <row r="6" spans="1:11" x14ac:dyDescent="0.25">
      <c r="A6" t="s">
        <v>8</v>
      </c>
      <c r="B6">
        <f>5</f>
        <v>5</v>
      </c>
      <c r="E6">
        <v>4000</v>
      </c>
      <c r="F6">
        <f t="shared" si="3"/>
        <v>23945.317686777442</v>
      </c>
      <c r="G6">
        <f t="shared" si="4"/>
        <v>22323.570496225253</v>
      </c>
      <c r="H6">
        <f t="shared" si="5"/>
        <v>22433.702353578392</v>
      </c>
      <c r="I6">
        <f t="shared" si="0"/>
        <v>1621.7471905521888</v>
      </c>
      <c r="J6">
        <f t="shared" si="1"/>
        <v>1511.6153331990499</v>
      </c>
      <c r="K6">
        <f t="shared" si="2"/>
        <v>-110.13185735313891</v>
      </c>
    </row>
    <row r="7" spans="1:11" x14ac:dyDescent="0.25">
      <c r="E7">
        <v>5000</v>
      </c>
      <c r="F7">
        <f t="shared" si="3"/>
        <v>28985.858227317985</v>
      </c>
      <c r="G7">
        <f t="shared" si="4"/>
        <v>26660.779798550833</v>
      </c>
      <c r="H7">
        <f t="shared" si="5"/>
        <v>26488.050179665348</v>
      </c>
      <c r="I7">
        <f t="shared" si="0"/>
        <v>2325.0784287671522</v>
      </c>
      <c r="J7">
        <f t="shared" si="1"/>
        <v>2497.8080476526375</v>
      </c>
      <c r="K7">
        <f t="shared" si="2"/>
        <v>172.72961888548525</v>
      </c>
    </row>
    <row r="8" spans="1:11" x14ac:dyDescent="0.25">
      <c r="A8" t="s">
        <v>9</v>
      </c>
      <c r="B8" t="s">
        <v>1</v>
      </c>
      <c r="C8" t="s">
        <v>2</v>
      </c>
      <c r="D8" t="s">
        <v>3</v>
      </c>
      <c r="E8">
        <v>6000</v>
      </c>
      <c r="F8">
        <f t="shared" si="3"/>
        <v>34026.398767858525</v>
      </c>
      <c r="G8">
        <f t="shared" si="4"/>
        <v>30997.989100876417</v>
      </c>
      <c r="H8">
        <f t="shared" si="5"/>
        <v>30542.398005752304</v>
      </c>
      <c r="I8">
        <f t="shared" si="0"/>
        <v>3028.4096669821083</v>
      </c>
      <c r="J8">
        <f t="shared" si="1"/>
        <v>3484.0007621062214</v>
      </c>
      <c r="K8">
        <f t="shared" si="2"/>
        <v>455.59109512411305</v>
      </c>
    </row>
    <row r="9" spans="1:11" x14ac:dyDescent="0.25">
      <c r="E9">
        <v>7000</v>
      </c>
      <c r="F9">
        <f t="shared" si="3"/>
        <v>39066.939308399065</v>
      </c>
      <c r="G9">
        <f t="shared" si="4"/>
        <v>35335.198403201997</v>
      </c>
      <c r="H9">
        <f t="shared" si="5"/>
        <v>34596.74583183926</v>
      </c>
      <c r="I9">
        <f t="shared" si="0"/>
        <v>3731.7409051970681</v>
      </c>
      <c r="J9">
        <f t="shared" si="1"/>
        <v>4470.1934765598053</v>
      </c>
      <c r="K9">
        <f t="shared" si="2"/>
        <v>738.45257136273722</v>
      </c>
    </row>
    <row r="10" spans="1:11" x14ac:dyDescent="0.25">
      <c r="A10" t="s">
        <v>10</v>
      </c>
      <c r="B10">
        <v>10000</v>
      </c>
      <c r="C10">
        <v>15000</v>
      </c>
      <c r="D10">
        <v>20000</v>
      </c>
      <c r="E10">
        <v>8000</v>
      </c>
      <c r="F10">
        <f t="shared" si="3"/>
        <v>44107.479848939605</v>
      </c>
      <c r="G10">
        <f t="shared" si="4"/>
        <v>39672.407705527585</v>
      </c>
      <c r="H10">
        <f t="shared" si="5"/>
        <v>38651.093657926212</v>
      </c>
      <c r="I10">
        <f t="shared" si="0"/>
        <v>4435.0721434120205</v>
      </c>
      <c r="J10">
        <f t="shared" si="1"/>
        <v>5456.3861910133928</v>
      </c>
      <c r="K10">
        <f t="shared" si="2"/>
        <v>1021.3140476013723</v>
      </c>
    </row>
    <row r="11" spans="1:11" x14ac:dyDescent="0.25">
      <c r="A11" t="s">
        <v>11</v>
      </c>
      <c r="B11">
        <v>800</v>
      </c>
      <c r="C11">
        <v>500</v>
      </c>
      <c r="D11">
        <v>250</v>
      </c>
    </row>
    <row r="12" spans="1:11" x14ac:dyDescent="0.25">
      <c r="A12" t="s">
        <v>12</v>
      </c>
      <c r="B12">
        <v>0.74</v>
      </c>
      <c r="C12">
        <v>0.86</v>
      </c>
      <c r="D12">
        <v>0.92</v>
      </c>
    </row>
    <row r="13" spans="1:11" x14ac:dyDescent="0.25">
      <c r="A13" t="s">
        <v>13</v>
      </c>
      <c r="B13">
        <f>B3/B12</f>
        <v>100.81081081081081</v>
      </c>
      <c r="C13">
        <f>B3/C12</f>
        <v>86.744186046511629</v>
      </c>
      <c r="D13">
        <f>B3/D12</f>
        <v>81.086956521739125</v>
      </c>
    </row>
    <row r="14" spans="1:11" x14ac:dyDescent="0.25">
      <c r="A14" t="s">
        <v>14</v>
      </c>
      <c r="B14">
        <f>B13*B1</f>
        <v>5.0405405405405403</v>
      </c>
      <c r="C14">
        <f>C13*B1</f>
        <v>4.337209302325582</v>
      </c>
      <c r="D14">
        <f>D13*B1</f>
        <v>4.0543478260869561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sara.sleit</dc:creator>
  <cp:keywords/>
  <dc:description/>
  <cp:lastModifiedBy>USER</cp:lastModifiedBy>
  <cp:revision/>
  <dcterms:created xsi:type="dcterms:W3CDTF">2026-08-22T14:00:36Z</dcterms:created>
  <dcterms:modified xsi:type="dcterms:W3CDTF">2026-08-22T14:59:50Z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2026-08-22T14:00:41Z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a6dcd3e4-d868-4e7c-b302-a0b01e18d1f2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10, 3, 0, 2</vt:lpwstr>
  </property>
</Properties>
</file>
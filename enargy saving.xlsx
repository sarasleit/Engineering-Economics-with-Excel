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D83FCD-D06B-44BB-A207-D92D53C04753}" xr6:coauthVersionLast="47" xr6:coauthVersionMax="47" xr10:uidLastSave="{00000000-0000-0000-0000-000000000000}"/>
  <bookViews>
    <workbookView xWindow="-120" yWindow="-120" windowWidth="20730" windowHeight="11160" xr2:uid="{CA76C552-BAB8-4DCA-ACD0-B7477B66F6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3" i="1"/>
  <c r="E4" i="1"/>
  <c r="E2" i="1"/>
  <c r="C12" i="1"/>
  <c r="C6" i="1"/>
  <c r="C8" i="1" s="1"/>
  <c r="C2" i="1"/>
  <c r="C4" i="1" s="1"/>
</calcChain>
</file>

<file path=xl/sharedStrings.xml><?xml version="1.0" encoding="utf-8"?>
<sst xmlns="http://schemas.openxmlformats.org/spreadsheetml/2006/main" count="15" uniqueCount="15">
  <si>
    <t>Government subsidy</t>
  </si>
  <si>
    <t>Production (kWh/ft²/year)</t>
  </si>
  <si>
    <t>Energy cost $/kWh</t>
  </si>
  <si>
    <t>Installation cost ($/ft²)</t>
  </si>
  <si>
    <t>Roof area (ft²)</t>
  </si>
  <si>
    <t>Interest rate</t>
  </si>
  <si>
    <t>total instalation cost</t>
  </si>
  <si>
    <t>Homeowner investment</t>
  </si>
  <si>
    <t>Annual energy production (kWh</t>
  </si>
  <si>
    <t>Annual saving</t>
  </si>
  <si>
    <t xml:space="preserve">break even year </t>
  </si>
  <si>
    <t xml:space="preserve">present worth saving </t>
  </si>
  <si>
    <t>years</t>
  </si>
  <si>
    <t xml:space="preserve">energy saving per year 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</si>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</sst>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د.ا.‏&quot;;[Red]\-#,##0.00\ &quot;د.ا.‏&quot;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99715660542436"/>
          <c:y val="4.2083333333333334E-2"/>
          <c:w val="0.78573840769903758"/>
          <c:h val="0.61794728783902009"/>
        </c:manualLayout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energy saving per 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Sheet1!$D$2:$D$35</c:f>
              <c:numCache>
                <c:formatCode>General</c:formatCode>
                <c:ptCount val="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Sheet1!$E$2:$E$35</c:f>
              <c:numCache>
                <c:formatCode>"د.ا.‏"#,##0.00_);[Red]\("د.ا.‏"#,##0.00\)</c:formatCode>
                <c:ptCount val="34"/>
                <c:pt idx="0">
                  <c:v>0</c:v>
                </c:pt>
                <c:pt idx="1">
                  <c:v>783.24716981132133</c:v>
                </c:pt>
                <c:pt idx="2">
                  <c:v>1522.1595941616249</c:v>
                </c:pt>
                <c:pt idx="3">
                  <c:v>2219.2467869449306</c:v>
                </c:pt>
                <c:pt idx="4">
                  <c:v>2876.8762140989911</c:v>
                </c:pt>
                <c:pt idx="5">
                  <c:v>3497.2813340556531</c:v>
                </c:pt>
                <c:pt idx="6">
                  <c:v>4082.5691830713713</c:v>
                </c:pt>
                <c:pt idx="7">
                  <c:v>4634.7275311994081</c:v>
                </c:pt>
                <c:pt idx="8">
                  <c:v>5155.6316332069882</c:v>
                </c:pt>
                <c:pt idx="9">
                  <c:v>5647.0505973650834</c:v>
                </c:pt>
                <c:pt idx="10">
                  <c:v>6110.6533937406448</c:v>
                </c:pt>
                <c:pt idx="11">
                  <c:v>6548.0145223968357</c:v>
                </c:pt>
                <c:pt idx="12">
                  <c:v>6960.6193607517325</c:v>
                </c:pt>
                <c:pt idx="13">
                  <c:v>7349.8692082563521</c:v>
                </c:pt>
                <c:pt idx="14">
                  <c:v>7717.0860455248603</c:v>
                </c:pt>
                <c:pt idx="15">
                  <c:v>8063.5170240800589</c:v>
                </c:pt>
                <c:pt idx="16">
                  <c:v>8390.3387019623169</c:v>
                </c:pt>
                <c:pt idx="17">
                  <c:v>8698.6610395870921</c:v>
                </c:pt>
                <c:pt idx="18">
                  <c:v>8989.5311694217853</c:v>
                </c:pt>
                <c:pt idx="19">
                  <c:v>9263.9369522847046</c:v>
                </c:pt>
                <c:pt idx="20">
                  <c:v>9522.810332344061</c:v>
                </c:pt>
                <c:pt idx="21">
                  <c:v>9767.0305022113789</c:v>
                </c:pt>
                <c:pt idx="22">
                  <c:v>9997.4268888786573</c:v>
                </c:pt>
                <c:pt idx="23">
                  <c:v>10214.781970640246</c:v>
                </c:pt>
                <c:pt idx="24">
                  <c:v>10419.833934566268</c:v>
                </c:pt>
                <c:pt idx="25">
                  <c:v>10613.279183553082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D-4AAD-B082-C418A376269D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Investment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Sheet1!$D$2:$D$35</c:f>
              <c:numCache>
                <c:formatCode>General</c:formatCode>
                <c:ptCount val="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Sheet1!$F$2:$F$35</c:f>
              <c:numCache>
                <c:formatCode>General</c:formatCode>
                <c:ptCount val="34"/>
                <c:pt idx="0">
                  <c:v>9860.5499999999993</c:v>
                </c:pt>
                <c:pt idx="1">
                  <c:v>9860.5499999999993</c:v>
                </c:pt>
                <c:pt idx="2">
                  <c:v>9860.5499999999993</c:v>
                </c:pt>
                <c:pt idx="3">
                  <c:v>9860.5499999999993</c:v>
                </c:pt>
                <c:pt idx="4">
                  <c:v>9860.5499999999993</c:v>
                </c:pt>
                <c:pt idx="5">
                  <c:v>9860.5499999999993</c:v>
                </c:pt>
                <c:pt idx="6">
                  <c:v>9860.5499999999993</c:v>
                </c:pt>
                <c:pt idx="7">
                  <c:v>9860.5499999999993</c:v>
                </c:pt>
                <c:pt idx="8">
                  <c:v>9860.5499999999993</c:v>
                </c:pt>
                <c:pt idx="9">
                  <c:v>9860.5499999999993</c:v>
                </c:pt>
                <c:pt idx="10">
                  <c:v>9860.5499999999993</c:v>
                </c:pt>
                <c:pt idx="11">
                  <c:v>9860.5499999999993</c:v>
                </c:pt>
                <c:pt idx="12">
                  <c:v>9860.5499999999993</c:v>
                </c:pt>
                <c:pt idx="13">
                  <c:v>9860.5499999999993</c:v>
                </c:pt>
                <c:pt idx="14">
                  <c:v>9860.5499999999993</c:v>
                </c:pt>
                <c:pt idx="15">
                  <c:v>9860.5499999999993</c:v>
                </c:pt>
                <c:pt idx="16">
                  <c:v>9860.5499999999993</c:v>
                </c:pt>
                <c:pt idx="17">
                  <c:v>9860.5499999999993</c:v>
                </c:pt>
                <c:pt idx="18">
                  <c:v>9860.5499999999993</c:v>
                </c:pt>
                <c:pt idx="19">
                  <c:v>9860.5499999999993</c:v>
                </c:pt>
                <c:pt idx="20">
                  <c:v>9860.5499999999993</c:v>
                </c:pt>
                <c:pt idx="21">
                  <c:v>9860.5499999999993</c:v>
                </c:pt>
                <c:pt idx="22">
                  <c:v>9860.5499999999993</c:v>
                </c:pt>
                <c:pt idx="23">
                  <c:v>9860.5499999999993</c:v>
                </c:pt>
                <c:pt idx="24">
                  <c:v>9860.5499999999993</c:v>
                </c:pt>
                <c:pt idx="25">
                  <c:v>9860.5499999999993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D-4AAD-B082-C418A3762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580832"/>
        <c:axId val="255589568"/>
      </c:lineChart>
      <c:catAx>
        <c:axId val="25558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589568"/>
        <c:crosses val="autoZero"/>
        <c:auto val="1"/>
        <c:lblAlgn val="ctr"/>
        <c:lblOffset val="100"/>
        <c:noMultiLvlLbl val="0"/>
      </c:catAx>
      <c:valAx>
        <c:axId val="25558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د.ا.‏&quot;#,##0.00_);[Red]\(&quot;د.ا.‏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58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319087</xdr:colOff>
      <xdr:row>0</xdr:row>
      <xdr:rowOff>123825</xdr:rowOff>
    </xdr:from>
    <xdr:to>
      <xdr:col>17</xdr:col>
      <xdr:colOff>166687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94995-F19F-815B-1218-BDE8C2D7A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240E-8C7A-458E-85B4-EDC088A5A643}">
  <dimension ref="A1:F27"/>
  <sheetViews>
    <sheetView tabSelected="1" topLeftCell="C1" workbookViewId="0">
      <selection activeCell="H16" sqref="H16"/>
    </sheetView>
  </sheetViews>
  <sheetFormatPr defaultRowHeight="15" x14ac:dyDescent="0.25"/>
  <cols>
    <col min="1" max="1" width="21.5703125" customWidth="1"/>
    <col min="3" max="3" width="26.5703125" customWidth="1"/>
    <col min="5" max="5" width="20" bestFit="1" customWidth="1"/>
    <col min="6" max="6" width="11.5703125" customWidth="1"/>
  </cols>
  <sheetData>
    <row r="1" spans="1:6" x14ac:dyDescent="0.25">
      <c r="A1" t="s">
        <v>2</v>
      </c>
      <c r="B1">
        <v>0.124</v>
      </c>
      <c r="C1" t="s">
        <v>6</v>
      </c>
      <c r="D1" t="s">
        <v>12</v>
      </c>
      <c r="E1" t="s">
        <v>13</v>
      </c>
      <c r="F1" t="s">
        <v>14</v>
      </c>
    </row>
    <row r="2" spans="1:6" x14ac:dyDescent="0.25">
      <c r="A2" t="s">
        <v>0</v>
      </c>
      <c r="B2">
        <v>0.7</v>
      </c>
      <c r="C2">
        <f>B5*B4</f>
        <v>32868.5</v>
      </c>
      <c r="D2">
        <v>0</v>
      </c>
      <c r="E2" s="1">
        <f>PV(0.06,D2,-830.242)</f>
        <v>0</v>
      </c>
      <c r="F2">
        <v>9860.5499999999993</v>
      </c>
    </row>
    <row r="3" spans="1:6" x14ac:dyDescent="0.25">
      <c r="A3" t="s">
        <v>1</v>
      </c>
      <c r="B3">
        <v>19.13</v>
      </c>
      <c r="C3" t="s">
        <v>7</v>
      </c>
      <c r="D3">
        <v>1</v>
      </c>
      <c r="E3" s="1">
        <f>PV(0.06,1,-830.242)</f>
        <v>783.24716981132133</v>
      </c>
      <c r="F3">
        <v>9860.5499999999993</v>
      </c>
    </row>
    <row r="4" spans="1:6" x14ac:dyDescent="0.25">
      <c r="A4" t="s">
        <v>3</v>
      </c>
      <c r="B4">
        <v>93.91</v>
      </c>
      <c r="C4">
        <f>C2*(1-B2)</f>
        <v>9860.5500000000011</v>
      </c>
      <c r="D4">
        <v>2</v>
      </c>
      <c r="E4" s="1">
        <f>PV($B$6,D4,-$C$8)</f>
        <v>1522.1595941616249</v>
      </c>
      <c r="F4">
        <v>9860.5499999999993</v>
      </c>
    </row>
    <row r="5" spans="1:6" x14ac:dyDescent="0.25">
      <c r="A5" t="s">
        <v>4</v>
      </c>
      <c r="B5">
        <v>350</v>
      </c>
      <c r="C5" t="s">
        <v>8</v>
      </c>
      <c r="D5">
        <v>3</v>
      </c>
      <c r="E5" s="1">
        <f t="shared" ref="E5:E27" si="0">PV($B$6,D5,-$C$8)</f>
        <v>2219.2467869449306</v>
      </c>
      <c r="F5">
        <v>9860.5499999999993</v>
      </c>
    </row>
    <row r="6" spans="1:6" x14ac:dyDescent="0.25">
      <c r="A6" t="s">
        <v>5</v>
      </c>
      <c r="B6">
        <v>0.06</v>
      </c>
      <c r="C6">
        <f>B5*B3</f>
        <v>6695.5</v>
      </c>
      <c r="D6">
        <v>4</v>
      </c>
      <c r="E6" s="1">
        <f t="shared" si="0"/>
        <v>2876.8762140989911</v>
      </c>
      <c r="F6">
        <v>9860.5499999999993</v>
      </c>
    </row>
    <row r="7" spans="1:6" x14ac:dyDescent="0.25">
      <c r="C7" t="s">
        <v>9</v>
      </c>
      <c r="D7">
        <v>5</v>
      </c>
      <c r="E7" s="1">
        <f t="shared" si="0"/>
        <v>3497.2813340556531</v>
      </c>
      <c r="F7">
        <v>9860.5499999999993</v>
      </c>
    </row>
    <row r="8" spans="1:6" x14ac:dyDescent="0.25">
      <c r="C8">
        <f>C6*B1</f>
        <v>830.24199999999996</v>
      </c>
      <c r="D8">
        <v>6</v>
      </c>
      <c r="E8" s="1">
        <f t="shared" si="0"/>
        <v>4082.5691830713713</v>
      </c>
      <c r="F8">
        <v>9860.5499999999993</v>
      </c>
    </row>
    <row r="9" spans="1:6" x14ac:dyDescent="0.25">
      <c r="C9" t="s">
        <v>10</v>
      </c>
      <c r="D9">
        <v>7</v>
      </c>
      <c r="E9" s="1">
        <f t="shared" si="0"/>
        <v>4634.7275311994081</v>
      </c>
      <c r="F9">
        <v>9860.5499999999993</v>
      </c>
    </row>
    <row r="10" spans="1:6" x14ac:dyDescent="0.25">
      <c r="C10">
        <v>21.398905569952998</v>
      </c>
      <c r="D10">
        <v>8</v>
      </c>
      <c r="E10" s="1">
        <f t="shared" si="0"/>
        <v>5155.6316332069882</v>
      </c>
      <c r="F10">
        <v>9860.5499999999993</v>
      </c>
    </row>
    <row r="11" spans="1:6" x14ac:dyDescent="0.25">
      <c r="C11" t="s">
        <v>11</v>
      </c>
      <c r="D11">
        <v>9</v>
      </c>
      <c r="E11" s="1">
        <f t="shared" si="0"/>
        <v>5647.0505973650834</v>
      </c>
      <c r="F11">
        <v>9860.5499999999993</v>
      </c>
    </row>
    <row r="12" spans="1:6" x14ac:dyDescent="0.25">
      <c r="C12" s="1">
        <f>PV(0.06,C10,-830.242)</f>
        <v>9860.5494712291656</v>
      </c>
      <c r="D12">
        <v>10</v>
      </c>
      <c r="E12" s="1">
        <f t="shared" si="0"/>
        <v>6110.6533937406448</v>
      </c>
      <c r="F12">
        <v>9860.5499999999993</v>
      </c>
    </row>
    <row r="13" spans="1:6" x14ac:dyDescent="0.25">
      <c r="D13">
        <v>11</v>
      </c>
      <c r="E13" s="1">
        <f t="shared" si="0"/>
        <v>6548.0145223968357</v>
      </c>
      <c r="F13">
        <v>9860.5499999999993</v>
      </c>
    </row>
    <row r="14" spans="1:6" x14ac:dyDescent="0.25">
      <c r="D14">
        <v>12</v>
      </c>
      <c r="E14" s="1">
        <f t="shared" si="0"/>
        <v>6960.6193607517325</v>
      </c>
      <c r="F14">
        <v>9860.5499999999993</v>
      </c>
    </row>
    <row r="15" spans="1:6" x14ac:dyDescent="0.25">
      <c r="D15">
        <v>13</v>
      </c>
      <c r="E15" s="1">
        <f t="shared" si="0"/>
        <v>7349.8692082563521</v>
      </c>
      <c r="F15">
        <v>9860.5499999999993</v>
      </c>
    </row>
    <row r="16" spans="1:6" x14ac:dyDescent="0.25">
      <c r="D16">
        <v>14</v>
      </c>
      <c r="E16" s="1">
        <f t="shared" si="0"/>
        <v>7717.0860455248603</v>
      </c>
      <c r="F16">
        <v>9860.5499999999993</v>
      </c>
    </row>
    <row r="17" spans="4:6" x14ac:dyDescent="0.25">
      <c r="D17">
        <v>15</v>
      </c>
      <c r="E17" s="1">
        <f t="shared" si="0"/>
        <v>8063.5170240800589</v>
      </c>
      <c r="F17">
        <v>9860.5499999999993</v>
      </c>
    </row>
    <row r="18" spans="4:6" x14ac:dyDescent="0.25">
      <c r="D18">
        <v>16</v>
      </c>
      <c r="E18" s="1">
        <f t="shared" si="0"/>
        <v>8390.3387019623169</v>
      </c>
      <c r="F18">
        <v>9860.5499999999993</v>
      </c>
    </row>
    <row r="19" spans="4:6" x14ac:dyDescent="0.25">
      <c r="D19">
        <v>17</v>
      </c>
      <c r="E19" s="1">
        <f t="shared" si="0"/>
        <v>8698.6610395870921</v>
      </c>
      <c r="F19">
        <v>9860.5499999999993</v>
      </c>
    </row>
    <row r="20" spans="4:6" x14ac:dyDescent="0.25">
      <c r="D20">
        <v>18</v>
      </c>
      <c r="E20" s="1">
        <f t="shared" si="0"/>
        <v>8989.5311694217853</v>
      </c>
      <c r="F20">
        <v>9860.5499999999993</v>
      </c>
    </row>
    <row r="21" spans="4:6" x14ac:dyDescent="0.25">
      <c r="D21">
        <v>19</v>
      </c>
      <c r="E21" s="1">
        <f t="shared" si="0"/>
        <v>9263.9369522847046</v>
      </c>
      <c r="F21">
        <v>9860.5499999999993</v>
      </c>
    </row>
    <row r="22" spans="4:6" x14ac:dyDescent="0.25">
      <c r="D22">
        <v>20</v>
      </c>
      <c r="E22" s="1">
        <f t="shared" si="0"/>
        <v>9522.810332344061</v>
      </c>
      <c r="F22">
        <v>9860.5499999999993</v>
      </c>
    </row>
    <row r="23" spans="4:6" x14ac:dyDescent="0.25">
      <c r="D23">
        <v>21</v>
      </c>
      <c r="E23" s="1">
        <f t="shared" si="0"/>
        <v>9767.0305022113789</v>
      </c>
      <c r="F23">
        <v>9860.5499999999993</v>
      </c>
    </row>
    <row r="24" spans="4:6" x14ac:dyDescent="0.25">
      <c r="D24">
        <v>22</v>
      </c>
      <c r="E24" s="1">
        <f t="shared" si="0"/>
        <v>9997.4268888786573</v>
      </c>
      <c r="F24">
        <v>9860.5499999999993</v>
      </c>
    </row>
    <row r="25" spans="4:6" x14ac:dyDescent="0.25">
      <c r="D25">
        <v>23</v>
      </c>
      <c r="E25" s="1">
        <f t="shared" si="0"/>
        <v>10214.781970640246</v>
      </c>
      <c r="F25">
        <v>9860.5499999999993</v>
      </c>
    </row>
    <row r="26" spans="4:6" x14ac:dyDescent="0.25">
      <c r="D26">
        <v>24</v>
      </c>
      <c r="E26" s="1">
        <f t="shared" si="0"/>
        <v>10419.833934566268</v>
      </c>
      <c r="F26">
        <v>9860.5499999999993</v>
      </c>
    </row>
    <row r="27" spans="4:6" x14ac:dyDescent="0.25">
      <c r="D27">
        <v>25</v>
      </c>
      <c r="E27" s="1">
        <f t="shared" si="0"/>
        <v>10613.279183553082</v>
      </c>
      <c r="F27">
        <v>9860.5499999999993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2026-08-21T15:24:31Z</dcterms:created>
  <dcterms:modified xsi:type="dcterms:W3CDTF">2026-08-22T13:27:11Z</dcterms:modified>
</cp:coreProperties>
</file>
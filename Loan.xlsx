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C2FF217-FCBD-4FE3-A015-C323CF51B27B}" xr6:coauthVersionLast="47" xr6:coauthVersionMax="47" xr10:uidLastSave="{00000000-0000-0000-0000-000000000000}"/>
  <bookViews>
    <workbookView xWindow="-120" yWindow="-120" windowWidth="20730" windowHeight="11160" xr2:uid="{BB93932E-E8B0-4632-949E-78FD294C1F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4" i="1" l="1"/>
  <c r="G4" i="1"/>
  <c r="H4" i="1" s="1"/>
  <c r="I4" i="1" s="1"/>
  <c r="G3" i="1"/>
  <c r="G2" i="1"/>
  <c r="B4" i="1"/>
  <c r="B7" i="1" s="1"/>
  <c r="B8" i="1" s="1"/>
  <c r="J4" i="1" l="1"/>
  <c r="G5" i="1" s="1"/>
  <c r="H2" i="1"/>
  <c r="I2" i="1"/>
  <c r="J2" i="1"/>
  <c r="H3" i="1" s="1"/>
  <c r="I3" i="1" s="1"/>
  <c r="J3" i="1" s="1"/>
  <c r="H5" i="1" l="1"/>
  <c r="I5" i="1" s="1"/>
  <c r="J5" i="1"/>
  <c r="G6" i="1" s="1"/>
  <c r="J6" i="1" l="1"/>
  <c r="G7" i="1" s="1"/>
  <c r="H6" i="1"/>
  <c r="I6" i="1" s="1"/>
  <c r="H7" i="1" l="1"/>
  <c r="I7" i="1" s="1"/>
  <c r="J7" i="1"/>
  <c r="G8" i="1" s="1"/>
  <c r="H8" i="1" l="1"/>
  <c r="I8" i="1" s="1"/>
  <c r="J8" i="1"/>
  <c r="G9" i="1" s="1"/>
  <c r="H9" i="1" l="1"/>
  <c r="I9" i="1" s="1"/>
  <c r="J9" i="1"/>
  <c r="G10" i="1" s="1"/>
  <c r="H10" i="1" l="1"/>
  <c r="I10" i="1" s="1"/>
  <c r="J10" i="1" s="1"/>
  <c r="G11" i="1" s="1"/>
  <c r="H11" i="1" l="1"/>
  <c r="I11" i="1" s="1"/>
  <c r="J11" i="1"/>
  <c r="G12" i="1" s="1"/>
  <c r="H12" i="1" l="1"/>
  <c r="I12" i="1" s="1"/>
  <c r="J12" i="1"/>
  <c r="G13" i="1" s="1"/>
  <c r="H13" i="1" l="1"/>
  <c r="I13" i="1" s="1"/>
  <c r="J13" i="1"/>
  <c r="G14" i="1" s="1"/>
  <c r="H14" i="1" l="1"/>
  <c r="I14" i="1" s="1"/>
  <c r="J14" i="1" s="1"/>
  <c r="G15" i="1" s="1"/>
  <c r="H15" i="1" l="1"/>
  <c r="I15" i="1" s="1"/>
  <c r="J15" i="1"/>
  <c r="G16" i="1" s="1"/>
  <c r="H16" i="1" l="1"/>
  <c r="I16" i="1" s="1"/>
  <c r="J16" i="1"/>
  <c r="G17" i="1" s="1"/>
  <c r="H17" i="1" l="1"/>
  <c r="I17" i="1" s="1"/>
  <c r="J17" i="1"/>
  <c r="G18" i="1" s="1"/>
  <c r="H18" i="1" l="1"/>
  <c r="I18" i="1" s="1"/>
  <c r="J18" i="1" s="1"/>
  <c r="G19" i="1" s="1"/>
  <c r="H19" i="1" l="1"/>
  <c r="I19" i="1" s="1"/>
  <c r="J19" i="1"/>
  <c r="G20" i="1" s="1"/>
  <c r="H20" i="1" l="1"/>
  <c r="I20" i="1" s="1"/>
  <c r="J20" i="1"/>
  <c r="G21" i="1" s="1"/>
  <c r="H21" i="1" l="1"/>
  <c r="I21" i="1" s="1"/>
  <c r="J21" i="1"/>
  <c r="G22" i="1" s="1"/>
  <c r="H22" i="1" l="1"/>
  <c r="I22" i="1" s="1"/>
  <c r="J22" i="1" s="1"/>
  <c r="G23" i="1" s="1"/>
  <c r="H23" i="1" l="1"/>
  <c r="I23" i="1" s="1"/>
  <c r="J23" i="1"/>
  <c r="G24" i="1" s="1"/>
  <c r="H24" i="1" l="1"/>
  <c r="I24" i="1" s="1"/>
  <c r="J24" i="1"/>
  <c r="G25" i="1" s="1"/>
  <c r="H25" i="1" l="1"/>
  <c r="I25" i="1" s="1"/>
  <c r="J25" i="1"/>
  <c r="G26" i="1" s="1"/>
  <c r="H26" i="1" l="1"/>
  <c r="I26" i="1" s="1"/>
  <c r="J26" i="1" s="1"/>
  <c r="G27" i="1" s="1"/>
  <c r="H27" i="1" l="1"/>
  <c r="I27" i="1" s="1"/>
  <c r="J27" i="1"/>
  <c r="G28" i="1" s="1"/>
  <c r="H28" i="1" l="1"/>
  <c r="I28" i="1" s="1"/>
  <c r="J28" i="1" s="1"/>
  <c r="G29" i="1" s="1"/>
  <c r="H29" i="1" l="1"/>
  <c r="I29" i="1" s="1"/>
  <c r="J29" i="1"/>
  <c r="G30" i="1" s="1"/>
  <c r="H30" i="1" l="1"/>
  <c r="I30" i="1" s="1"/>
  <c r="J30" i="1" s="1"/>
  <c r="G31" i="1" s="1"/>
  <c r="H31" i="1" l="1"/>
  <c r="I31" i="1" s="1"/>
  <c r="J31" i="1" s="1"/>
  <c r="G32" i="1" s="1"/>
  <c r="H32" i="1" l="1"/>
  <c r="I32" i="1" s="1"/>
  <c r="J32" i="1"/>
  <c r="G33" i="1" s="1"/>
  <c r="H33" i="1" l="1"/>
  <c r="I33" i="1" s="1"/>
  <c r="J33" i="1" s="1"/>
  <c r="G34" i="1" s="1"/>
  <c r="H34" i="1" l="1"/>
  <c r="I34" i="1" s="1"/>
  <c r="J34" i="1" s="1"/>
  <c r="G35" i="1" s="1"/>
  <c r="H35" i="1" l="1"/>
  <c r="I35" i="1" s="1"/>
  <c r="J35" i="1"/>
  <c r="G36" i="1" s="1"/>
  <c r="H36" i="1" l="1"/>
  <c r="I36" i="1" s="1"/>
  <c r="J36" i="1"/>
  <c r="G37" i="1" s="1"/>
  <c r="H37" i="1" l="1"/>
  <c r="I37" i="1" s="1"/>
  <c r="J37" i="1"/>
  <c r="G38" i="1" s="1"/>
  <c r="H38" i="1" l="1"/>
  <c r="I38" i="1" s="1"/>
  <c r="J38" i="1" s="1"/>
  <c r="G39" i="1" s="1"/>
  <c r="H39" i="1" l="1"/>
  <c r="I39" i="1" s="1"/>
  <c r="J39" i="1"/>
  <c r="G40" i="1" s="1"/>
  <c r="H40" i="1" l="1"/>
  <c r="I40" i="1" s="1"/>
  <c r="J40" i="1"/>
  <c r="G41" i="1" s="1"/>
  <c r="H41" i="1" l="1"/>
  <c r="I41" i="1" s="1"/>
  <c r="J41" i="1"/>
  <c r="G42" i="1" s="1"/>
  <c r="H42" i="1" l="1"/>
  <c r="I42" i="1" s="1"/>
  <c r="J42" i="1" s="1"/>
  <c r="G43" i="1" s="1"/>
  <c r="H43" i="1" l="1"/>
  <c r="I43" i="1" s="1"/>
  <c r="J43" i="1"/>
  <c r="G44" i="1" s="1"/>
  <c r="H44" i="1" l="1"/>
  <c r="I44" i="1" s="1"/>
  <c r="J44" i="1"/>
  <c r="G45" i="1" s="1"/>
  <c r="H45" i="1" l="1"/>
  <c r="I45" i="1" s="1"/>
  <c r="J45" i="1"/>
  <c r="G46" i="1" s="1"/>
  <c r="H46" i="1" l="1"/>
  <c r="I46" i="1" s="1"/>
  <c r="J46" i="1" s="1"/>
  <c r="G47" i="1" s="1"/>
  <c r="H47" i="1" l="1"/>
  <c r="I47" i="1" s="1"/>
  <c r="J47" i="1"/>
  <c r="G48" i="1" s="1"/>
  <c r="H48" i="1" l="1"/>
  <c r="I48" i="1" s="1"/>
  <c r="J48" i="1"/>
  <c r="G49" i="1" s="1"/>
  <c r="H49" i="1" l="1"/>
  <c r="I49" i="1" s="1"/>
  <c r="J49" i="1"/>
  <c r="G50" i="1" s="1"/>
  <c r="H50" i="1" l="1"/>
  <c r="I50" i="1" s="1"/>
  <c r="J50" i="1" s="1"/>
  <c r="G51" i="1" s="1"/>
  <c r="H51" i="1" l="1"/>
  <c r="I51" i="1" s="1"/>
  <c r="J51" i="1"/>
  <c r="G52" i="1" s="1"/>
  <c r="H52" i="1" l="1"/>
  <c r="I52" i="1" s="1"/>
  <c r="J52" i="1"/>
  <c r="G53" i="1" s="1"/>
  <c r="H53" i="1" l="1"/>
  <c r="I53" i="1" s="1"/>
  <c r="J53" i="1"/>
  <c r="G54" i="1" s="1"/>
  <c r="H54" i="1" l="1"/>
  <c r="I54" i="1" s="1"/>
  <c r="J54" i="1" s="1"/>
  <c r="G55" i="1" s="1"/>
  <c r="H55" i="1" l="1"/>
  <c r="I55" i="1" s="1"/>
  <c r="J55" i="1"/>
  <c r="G56" i="1" s="1"/>
  <c r="H56" i="1" l="1"/>
  <c r="I56" i="1" s="1"/>
  <c r="J56" i="1"/>
  <c r="G57" i="1" s="1"/>
  <c r="H57" i="1" l="1"/>
  <c r="I57" i="1" s="1"/>
  <c r="J57" i="1"/>
  <c r="G58" i="1" s="1"/>
  <c r="H58" i="1" l="1"/>
  <c r="I58" i="1" s="1"/>
  <c r="J58" i="1" s="1"/>
  <c r="G59" i="1" s="1"/>
  <c r="H59" i="1" l="1"/>
  <c r="I59" i="1" s="1"/>
  <c r="J59" i="1"/>
  <c r="G60" i="1" s="1"/>
  <c r="H60" i="1" l="1"/>
  <c r="I60" i="1" s="1"/>
  <c r="J60" i="1"/>
  <c r="G61" i="1" s="1"/>
  <c r="H61" i="1" l="1"/>
  <c r="I61" i="1" s="1"/>
  <c r="J61" i="1"/>
  <c r="G62" i="1" s="1"/>
  <c r="H62" i="1" l="1"/>
  <c r="I62" i="1" s="1"/>
  <c r="J62" i="1" s="1"/>
  <c r="G63" i="1" s="1"/>
  <c r="H63" i="1" l="1"/>
  <c r="I63" i="1" s="1"/>
  <c r="J63" i="1"/>
  <c r="G64" i="1" s="1"/>
  <c r="H64" i="1" l="1"/>
  <c r="I64" i="1" s="1"/>
  <c r="J64" i="1"/>
  <c r="G65" i="1" s="1"/>
  <c r="H65" i="1" l="1"/>
  <c r="I65" i="1" s="1"/>
  <c r="J65" i="1" s="1"/>
  <c r="G66" i="1" s="1"/>
  <c r="H66" i="1" l="1"/>
  <c r="I66" i="1" s="1"/>
  <c r="J66" i="1" s="1"/>
  <c r="G67" i="1" s="1"/>
  <c r="H67" i="1" l="1"/>
  <c r="I67" i="1" s="1"/>
  <c r="J67" i="1"/>
  <c r="G68" i="1" s="1"/>
  <c r="H68" i="1" l="1"/>
  <c r="I68" i="1" s="1"/>
  <c r="J68" i="1"/>
  <c r="G69" i="1" s="1"/>
  <c r="H69" i="1" l="1"/>
  <c r="I69" i="1" s="1"/>
  <c r="J69" i="1" s="1"/>
  <c r="G70" i="1" s="1"/>
  <c r="H70" i="1" l="1"/>
  <c r="I70" i="1" s="1"/>
  <c r="J70" i="1"/>
  <c r="G71" i="1" s="1"/>
  <c r="H71" i="1" l="1"/>
  <c r="I71" i="1" s="1"/>
  <c r="J71" i="1"/>
  <c r="G72" i="1" s="1"/>
  <c r="H72" i="1" l="1"/>
  <c r="I72" i="1" s="1"/>
  <c r="J72" i="1"/>
  <c r="G73" i="1" s="1"/>
  <c r="H73" i="1" l="1"/>
  <c r="I73" i="1" s="1"/>
  <c r="J73" i="1" s="1"/>
  <c r="G74" i="1" s="1"/>
  <c r="H74" i="1" l="1"/>
  <c r="I74" i="1" s="1"/>
  <c r="J74" i="1" s="1"/>
  <c r="G75" i="1" s="1"/>
  <c r="H75" i="1" l="1"/>
  <c r="I75" i="1" s="1"/>
  <c r="J75" i="1"/>
  <c r="G76" i="1" s="1"/>
  <c r="H76" i="1" l="1"/>
  <c r="I76" i="1" s="1"/>
  <c r="J76" i="1" s="1"/>
  <c r="G77" i="1" s="1"/>
  <c r="H77" i="1" l="1"/>
  <c r="I77" i="1" s="1"/>
  <c r="J77" i="1" s="1"/>
  <c r="G78" i="1" s="1"/>
  <c r="H78" i="1" l="1"/>
  <c r="I78" i="1" s="1"/>
  <c r="J78" i="1"/>
  <c r="G79" i="1" s="1"/>
  <c r="H79" i="1" l="1"/>
  <c r="I79" i="1" s="1"/>
  <c r="J79" i="1"/>
  <c r="G80" i="1" s="1"/>
  <c r="H80" i="1" l="1"/>
  <c r="I80" i="1" s="1"/>
  <c r="J80" i="1"/>
  <c r="G81" i="1" s="1"/>
  <c r="H81" i="1" l="1"/>
  <c r="I81" i="1" s="1"/>
  <c r="J81" i="1" s="1"/>
  <c r="G82" i="1" s="1"/>
  <c r="H82" i="1" l="1"/>
  <c r="I82" i="1" s="1"/>
  <c r="J82" i="1" s="1"/>
  <c r="G83" i="1" s="1"/>
  <c r="H83" i="1" l="1"/>
  <c r="I83" i="1" s="1"/>
  <c r="J83" i="1" s="1"/>
  <c r="G84" i="1" s="1"/>
  <c r="H84" i="1" l="1"/>
  <c r="I84" i="1" s="1"/>
  <c r="J84" i="1"/>
  <c r="G85" i="1" s="1"/>
  <c r="H85" i="1" l="1"/>
  <c r="I85" i="1" s="1"/>
  <c r="J85" i="1" s="1"/>
  <c r="G86" i="1" s="1"/>
  <c r="H86" i="1" l="1"/>
  <c r="I86" i="1" s="1"/>
  <c r="J86" i="1" s="1"/>
  <c r="G87" i="1" s="1"/>
  <c r="H87" i="1" l="1"/>
  <c r="I87" i="1" s="1"/>
  <c r="J87" i="1"/>
  <c r="G88" i="1" s="1"/>
  <c r="H88" i="1" l="1"/>
  <c r="I88" i="1" s="1"/>
  <c r="J88" i="1" s="1"/>
  <c r="G89" i="1" s="1"/>
  <c r="H89" i="1" l="1"/>
  <c r="I89" i="1" s="1"/>
  <c r="J89" i="1" s="1"/>
  <c r="G90" i="1" s="1"/>
  <c r="H90" i="1" l="1"/>
  <c r="I90" i="1" s="1"/>
  <c r="J90" i="1" s="1"/>
  <c r="G91" i="1" s="1"/>
  <c r="H91" i="1" l="1"/>
  <c r="I91" i="1" s="1"/>
  <c r="J91" i="1" s="1"/>
  <c r="G92" i="1" s="1"/>
  <c r="H92" i="1" l="1"/>
  <c r="I92" i="1" s="1"/>
  <c r="J92" i="1" s="1"/>
  <c r="G93" i="1" s="1"/>
  <c r="H93" i="1" l="1"/>
  <c r="I93" i="1" s="1"/>
  <c r="J93" i="1" s="1"/>
  <c r="G94" i="1" s="1"/>
  <c r="H94" i="1" l="1"/>
  <c r="I94" i="1" s="1"/>
  <c r="J94" i="1" s="1"/>
  <c r="G95" i="1" s="1"/>
  <c r="H95" i="1" l="1"/>
  <c r="I95" i="1" s="1"/>
  <c r="J95" i="1" s="1"/>
  <c r="G96" i="1" s="1"/>
  <c r="H96" i="1" l="1"/>
  <c r="I96" i="1" s="1"/>
  <c r="J96" i="1" s="1"/>
  <c r="G97" i="1" s="1"/>
  <c r="H97" i="1" l="1"/>
  <c r="I97" i="1" s="1"/>
  <c r="J97" i="1" s="1"/>
  <c r="G98" i="1" s="1"/>
  <c r="H98" i="1" l="1"/>
  <c r="I98" i="1" s="1"/>
  <c r="J98" i="1" s="1"/>
  <c r="G99" i="1" s="1"/>
  <c r="H99" i="1" l="1"/>
  <c r="I99" i="1" s="1"/>
  <c r="J99" i="1" s="1"/>
  <c r="G100" i="1" s="1"/>
  <c r="H100" i="1" l="1"/>
  <c r="I100" i="1" s="1"/>
  <c r="J100" i="1" s="1"/>
  <c r="G101" i="1" s="1"/>
  <c r="H101" i="1" l="1"/>
  <c r="I101" i="1" s="1"/>
  <c r="J101" i="1" s="1"/>
  <c r="G102" i="1" s="1"/>
  <c r="H102" i="1" l="1"/>
  <c r="I102" i="1" s="1"/>
  <c r="J102" i="1" s="1"/>
  <c r="G103" i="1" s="1"/>
  <c r="H103" i="1" l="1"/>
  <c r="I103" i="1" s="1"/>
  <c r="J103" i="1" s="1"/>
  <c r="H104" i="1" l="1"/>
  <c r="I104" i="1" s="1"/>
  <c r="J104" i="1" s="1"/>
  <c r="G105" i="1" s="1"/>
  <c r="H105" i="1" l="1"/>
  <c r="I105" i="1" s="1"/>
  <c r="J105" i="1" s="1"/>
  <c r="G106" i="1" s="1"/>
  <c r="H106" i="1" l="1"/>
  <c r="I106" i="1" s="1"/>
  <c r="J106" i="1" s="1"/>
  <c r="G107" i="1" s="1"/>
  <c r="H107" i="1" l="1"/>
  <c r="I107" i="1" s="1"/>
  <c r="J107" i="1" s="1"/>
  <c r="G108" i="1" s="1"/>
  <c r="H108" i="1" l="1"/>
  <c r="I108" i="1" s="1"/>
  <c r="J108" i="1" s="1"/>
  <c r="G109" i="1" s="1"/>
  <c r="H109" i="1" l="1"/>
  <c r="I109" i="1" s="1"/>
  <c r="J109" i="1" s="1"/>
  <c r="G110" i="1" s="1"/>
  <c r="H110" i="1" l="1"/>
  <c r="I110" i="1" s="1"/>
  <c r="J110" i="1" s="1"/>
  <c r="G111" i="1" s="1"/>
  <c r="H111" i="1" l="1"/>
  <c r="I111" i="1" s="1"/>
  <c r="J111" i="1" s="1"/>
  <c r="G112" i="1" s="1"/>
  <c r="H112" i="1" l="1"/>
  <c r="I112" i="1" s="1"/>
  <c r="J112" i="1" s="1"/>
  <c r="G113" i="1" s="1"/>
  <c r="H113" i="1" l="1"/>
  <c r="I113" i="1" s="1"/>
  <c r="J113" i="1" s="1"/>
  <c r="G114" i="1" s="1"/>
  <c r="H114" i="1" l="1"/>
  <c r="I114" i="1" s="1"/>
  <c r="J114" i="1" s="1"/>
  <c r="G115" i="1" s="1"/>
  <c r="H115" i="1" l="1"/>
  <c r="I115" i="1" s="1"/>
  <c r="J115" i="1" s="1"/>
  <c r="G116" i="1" s="1"/>
  <c r="H116" i="1" l="1"/>
  <c r="I116" i="1" s="1"/>
  <c r="J116" i="1" s="1"/>
  <c r="G117" i="1" s="1"/>
  <c r="H117" i="1" l="1"/>
  <c r="I117" i="1" s="1"/>
  <c r="J117" i="1" s="1"/>
  <c r="G118" i="1" s="1"/>
  <c r="H118" i="1" l="1"/>
  <c r="I118" i="1" s="1"/>
  <c r="J118" i="1" s="1"/>
  <c r="G119" i="1" s="1"/>
  <c r="H119" i="1" l="1"/>
  <c r="I119" i="1" s="1"/>
  <c r="J119" i="1" s="1"/>
  <c r="G120" i="1" s="1"/>
  <c r="H120" i="1" l="1"/>
  <c r="I120" i="1" s="1"/>
  <c r="J120" i="1" s="1"/>
  <c r="G121" i="1" s="1"/>
  <c r="H121" i="1" l="1"/>
  <c r="I121" i="1" s="1"/>
  <c r="J121" i="1" s="1"/>
</calcChain>
</file>

<file path=xl/sharedStrings.xml><?xml version="1.0" encoding="utf-8"?>
<sst xmlns="http://schemas.openxmlformats.org/spreadsheetml/2006/main" count="12" uniqueCount="12">
  <si>
    <t>Loan</t>
  </si>
  <si>
    <t>nominal</t>
  </si>
  <si>
    <t>nper/year</t>
  </si>
  <si>
    <t xml:space="preserve">mounthly rate </t>
  </si>
  <si>
    <t xml:space="preserve">mounthly payment </t>
  </si>
  <si>
    <t xml:space="preserve"> Loan paymeny </t>
  </si>
  <si>
    <t xml:space="preserve">Total profit </t>
  </si>
  <si>
    <t>period</t>
  </si>
  <si>
    <t>intrest paid</t>
  </si>
  <si>
    <t>principle paid</t>
  </si>
  <si>
    <t>beginning balance</t>
  </si>
  <si>
    <t xml:space="preserve">end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</si>
</sst>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د.ا.‏&quot;;[Red]\-#,##0.00\ &quot;د.ا.‏&quot;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A51A-85F7-4738-B1F8-4306D6D535F8}">
  <dimension ref="A1:J122"/>
  <sheetViews>
    <sheetView tabSelected="1" workbookViewId="0">
      <selection activeCell="H2" sqref="H2"/>
    </sheetView>
  </sheetViews>
  <sheetFormatPr defaultRowHeight="15" x14ac:dyDescent="0.25"/>
  <cols>
    <col min="1" max="1" width="15.5703125" customWidth="1"/>
    <col min="2" max="2" width="11.42578125" bestFit="1" customWidth="1"/>
    <col min="7" max="7" width="17" customWidth="1"/>
    <col min="8" max="8" width="11.42578125" customWidth="1"/>
    <col min="9" max="9" width="12.5703125" customWidth="1"/>
    <col min="10" max="10" width="12.85546875" customWidth="1"/>
  </cols>
  <sheetData>
    <row r="1" spans="1:10" x14ac:dyDescent="0.25">
      <c r="A1" t="s">
        <v>0</v>
      </c>
      <c r="B1">
        <v>50000</v>
      </c>
      <c r="F1" t="s">
        <v>7</v>
      </c>
      <c r="G1" t="s">
        <v>10</v>
      </c>
      <c r="H1" t="s">
        <v>8</v>
      </c>
      <c r="I1" t="s">
        <v>9</v>
      </c>
      <c r="J1" t="s">
        <v>11</v>
      </c>
    </row>
    <row r="2" spans="1:10" x14ac:dyDescent="0.25">
      <c r="A2" t="s">
        <v>1</v>
      </c>
      <c r="B2">
        <v>0.06</v>
      </c>
      <c r="F2">
        <v>1</v>
      </c>
      <c r="G2">
        <f>B1</f>
        <v>50000</v>
      </c>
      <c r="H2">
        <f>$B$4*G2</f>
        <v>250</v>
      </c>
      <c r="I2" s="1">
        <f>$B$7-H2</f>
        <v>305.10250970824723</v>
      </c>
      <c r="J2" s="1">
        <f>G2-I2</f>
        <v>49694.897490291754</v>
      </c>
    </row>
    <row r="3" spans="1:10" x14ac:dyDescent="0.25">
      <c r="A3" t="s">
        <v>2</v>
      </c>
      <c r="B3">
        <v>12</v>
      </c>
      <c r="F3">
        <v>2</v>
      </c>
      <c r="G3" s="1">
        <f>J2</f>
        <v>49694.897490291754</v>
      </c>
      <c r="H3" s="1">
        <f>$B$4*G3</f>
        <v>248.47448745145877</v>
      </c>
      <c r="I3" s="1">
        <f>$B$7-H3</f>
        <v>306.62802225678843</v>
      </c>
      <c r="J3" s="1">
        <f>G3-I3</f>
        <v>49388.269468034967</v>
      </c>
    </row>
    <row r="4" spans="1:10" x14ac:dyDescent="0.25">
      <c r="A4" t="s">
        <v>3</v>
      </c>
      <c r="B4">
        <f>B2/B3</f>
        <v>5.0000000000000001E-3</v>
      </c>
      <c r="F4">
        <v>3</v>
      </c>
      <c r="G4" s="1">
        <f t="shared" ref="G4:G67" si="0">J3</f>
        <v>49388.269468034967</v>
      </c>
      <c r="H4" s="1">
        <f t="shared" ref="H4:H67" si="1">$B$4*G4</f>
        <v>246.94134734017484</v>
      </c>
      <c r="I4" s="1">
        <f t="shared" ref="I4:I67" si="2">$B$7-H4</f>
        <v>308.16116236807238</v>
      </c>
      <c r="J4" s="1">
        <f t="shared" ref="J4:J67" si="3">G4-I4</f>
        <v>49080.108305666894</v>
      </c>
    </row>
    <row r="5" spans="1:10" x14ac:dyDescent="0.25">
      <c r="A5" t="s">
        <v>5</v>
      </c>
      <c r="B5">
        <v>120</v>
      </c>
      <c r="F5">
        <v>4</v>
      </c>
      <c r="G5" s="1">
        <f t="shared" si="0"/>
        <v>49080.108305666894</v>
      </c>
      <c r="H5" s="1">
        <f t="shared" si="1"/>
        <v>245.40054152833449</v>
      </c>
      <c r="I5" s="1">
        <f t="shared" si="2"/>
        <v>309.70196817991274</v>
      </c>
      <c r="J5" s="1">
        <f t="shared" si="3"/>
        <v>48770.40633748698</v>
      </c>
    </row>
    <row r="6" spans="1:10" x14ac:dyDescent="0.25">
      <c r="F6">
        <v>5</v>
      </c>
      <c r="G6" s="1">
        <f t="shared" si="0"/>
        <v>48770.40633748698</v>
      </c>
      <c r="H6" s="1">
        <f t="shared" si="1"/>
        <v>243.8520316874349</v>
      </c>
      <c r="I6" s="1">
        <f t="shared" si="2"/>
        <v>311.25047802081235</v>
      </c>
      <c r="J6" s="1">
        <f t="shared" si="3"/>
        <v>48459.155859466169</v>
      </c>
    </row>
    <row r="7" spans="1:10" x14ac:dyDescent="0.25">
      <c r="A7" t="s">
        <v>4</v>
      </c>
      <c r="B7" s="1">
        <f>-PMT(B4,B5,B1)</f>
        <v>555.10250970824723</v>
      </c>
      <c r="F7">
        <v>6</v>
      </c>
      <c r="G7" s="1">
        <f t="shared" si="0"/>
        <v>48459.155859466169</v>
      </c>
      <c r="H7" s="1">
        <f t="shared" si="1"/>
        <v>242.29577929733085</v>
      </c>
      <c r="I7" s="1">
        <f t="shared" si="2"/>
        <v>312.80673041091637</v>
      </c>
      <c r="J7" s="1">
        <f t="shared" si="3"/>
        <v>48146.349129055256</v>
      </c>
    </row>
    <row r="8" spans="1:10" x14ac:dyDescent="0.25">
      <c r="A8" t="s">
        <v>6</v>
      </c>
      <c r="B8" s="1">
        <f>B5*B7 -B1</f>
        <v>16612.301164989665</v>
      </c>
      <c r="F8">
        <v>7</v>
      </c>
      <c r="G8" s="1">
        <f t="shared" si="0"/>
        <v>48146.349129055256</v>
      </c>
      <c r="H8" s="1">
        <f t="shared" si="1"/>
        <v>240.73174564527628</v>
      </c>
      <c r="I8" s="1">
        <f t="shared" si="2"/>
        <v>314.37076406297092</v>
      </c>
      <c r="J8" s="1">
        <f t="shared" si="3"/>
        <v>47831.978364992283</v>
      </c>
    </row>
    <row r="9" spans="1:10" x14ac:dyDescent="0.25">
      <c r="F9">
        <v>8</v>
      </c>
      <c r="G9" s="1">
        <f t="shared" si="0"/>
        <v>47831.978364992283</v>
      </c>
      <c r="H9" s="1">
        <f t="shared" si="1"/>
        <v>239.15989182496142</v>
      </c>
      <c r="I9" s="1">
        <f t="shared" si="2"/>
        <v>315.94261788328583</v>
      </c>
      <c r="J9" s="1">
        <f t="shared" si="3"/>
        <v>47516.035747108996</v>
      </c>
    </row>
    <row r="10" spans="1:10" x14ac:dyDescent="0.25">
      <c r="F10">
        <v>9</v>
      </c>
      <c r="G10" s="1">
        <f t="shared" si="0"/>
        <v>47516.035747108996</v>
      </c>
      <c r="H10" s="1">
        <f t="shared" si="1"/>
        <v>237.58017873554499</v>
      </c>
      <c r="I10" s="1">
        <f t="shared" si="2"/>
        <v>317.52233097270221</v>
      </c>
      <c r="J10" s="1">
        <f t="shared" si="3"/>
        <v>47198.513416136295</v>
      </c>
    </row>
    <row r="11" spans="1:10" x14ac:dyDescent="0.25">
      <c r="F11">
        <v>10</v>
      </c>
      <c r="G11" s="1">
        <f t="shared" si="0"/>
        <v>47198.513416136295</v>
      </c>
      <c r="H11" s="1">
        <f t="shared" si="1"/>
        <v>235.99256708068148</v>
      </c>
      <c r="I11" s="1">
        <f t="shared" si="2"/>
        <v>319.10994262756572</v>
      </c>
      <c r="J11" s="1">
        <f t="shared" si="3"/>
        <v>46879.403473508726</v>
      </c>
    </row>
    <row r="12" spans="1:10" x14ac:dyDescent="0.25">
      <c r="F12">
        <v>11</v>
      </c>
      <c r="G12" s="1">
        <f t="shared" si="0"/>
        <v>46879.403473508726</v>
      </c>
      <c r="H12" s="1">
        <f t="shared" si="1"/>
        <v>234.39701736754364</v>
      </c>
      <c r="I12" s="1">
        <f t="shared" si="2"/>
        <v>320.70549234070359</v>
      </c>
      <c r="J12" s="1">
        <f t="shared" si="3"/>
        <v>46558.697981168021</v>
      </c>
    </row>
    <row r="13" spans="1:10" x14ac:dyDescent="0.25">
      <c r="F13">
        <v>12</v>
      </c>
      <c r="G13" s="1">
        <f t="shared" si="0"/>
        <v>46558.697981168021</v>
      </c>
      <c r="H13" s="1">
        <f t="shared" si="1"/>
        <v>232.79348990584012</v>
      </c>
      <c r="I13" s="1">
        <f t="shared" si="2"/>
        <v>322.30901980240708</v>
      </c>
      <c r="J13" s="1">
        <f t="shared" si="3"/>
        <v>46236.388961365614</v>
      </c>
    </row>
    <row r="14" spans="1:10" x14ac:dyDescent="0.25">
      <c r="F14">
        <v>13</v>
      </c>
      <c r="G14" s="1">
        <f t="shared" si="0"/>
        <v>46236.388961365614</v>
      </c>
      <c r="H14" s="1">
        <f t="shared" si="1"/>
        <v>231.18194480682808</v>
      </c>
      <c r="I14" s="1">
        <f t="shared" si="2"/>
        <v>323.92056490141914</v>
      </c>
      <c r="J14" s="1">
        <f t="shared" si="3"/>
        <v>45912.468396464195</v>
      </c>
    </row>
    <row r="15" spans="1:10" x14ac:dyDescent="0.25">
      <c r="F15">
        <v>14</v>
      </c>
      <c r="G15" s="1">
        <f t="shared" si="0"/>
        <v>45912.468396464195</v>
      </c>
      <c r="H15" s="1">
        <f t="shared" si="1"/>
        <v>229.56234198232099</v>
      </c>
      <c r="I15" s="1">
        <f t="shared" si="2"/>
        <v>325.54016772592627</v>
      </c>
      <c r="J15" s="1">
        <f t="shared" si="3"/>
        <v>45586.928228738267</v>
      </c>
    </row>
    <row r="16" spans="1:10" x14ac:dyDescent="0.25">
      <c r="F16">
        <v>15</v>
      </c>
      <c r="G16" s="1">
        <f t="shared" si="0"/>
        <v>45586.928228738267</v>
      </c>
      <c r="H16" s="1">
        <f t="shared" si="1"/>
        <v>227.93464114369135</v>
      </c>
      <c r="I16" s="1">
        <f t="shared" si="2"/>
        <v>327.16786856455587</v>
      </c>
      <c r="J16" s="1">
        <f t="shared" si="3"/>
        <v>45259.760360173714</v>
      </c>
    </row>
    <row r="17" spans="6:10" x14ac:dyDescent="0.25">
      <c r="F17">
        <v>16</v>
      </c>
      <c r="G17" s="1">
        <f t="shared" si="0"/>
        <v>45259.760360173714</v>
      </c>
      <c r="H17" s="1">
        <f t="shared" si="1"/>
        <v>226.29880180086857</v>
      </c>
      <c r="I17" s="1">
        <f t="shared" si="2"/>
        <v>328.80370790737868</v>
      </c>
      <c r="J17" s="1">
        <f t="shared" si="3"/>
        <v>44930.956652266337</v>
      </c>
    </row>
    <row r="18" spans="6:10" x14ac:dyDescent="0.25">
      <c r="F18">
        <v>17</v>
      </c>
      <c r="G18" s="1">
        <f t="shared" si="0"/>
        <v>44930.956652266337</v>
      </c>
      <c r="H18" s="1">
        <f t="shared" si="1"/>
        <v>224.65478326133169</v>
      </c>
      <c r="I18" s="1">
        <f t="shared" si="2"/>
        <v>330.44772644691557</v>
      </c>
      <c r="J18" s="1">
        <f t="shared" si="3"/>
        <v>44600.50892581942</v>
      </c>
    </row>
    <row r="19" spans="6:10" x14ac:dyDescent="0.25">
      <c r="F19">
        <v>18</v>
      </c>
      <c r="G19" s="1">
        <f t="shared" si="0"/>
        <v>44600.50892581942</v>
      </c>
      <c r="H19" s="1">
        <f t="shared" si="1"/>
        <v>223.00254462909712</v>
      </c>
      <c r="I19" s="1">
        <f t="shared" si="2"/>
        <v>332.09996507915014</v>
      </c>
      <c r="J19" s="1">
        <f t="shared" si="3"/>
        <v>44268.408960740271</v>
      </c>
    </row>
    <row r="20" spans="6:10" x14ac:dyDescent="0.25">
      <c r="F20">
        <v>19</v>
      </c>
      <c r="G20" s="1">
        <f t="shared" si="0"/>
        <v>44268.408960740271</v>
      </c>
      <c r="H20" s="1">
        <f t="shared" si="1"/>
        <v>221.34204480370136</v>
      </c>
      <c r="I20" s="1">
        <f t="shared" si="2"/>
        <v>333.76046490454587</v>
      </c>
      <c r="J20" s="1">
        <f t="shared" si="3"/>
        <v>43934.648495835725</v>
      </c>
    </row>
    <row r="21" spans="6:10" x14ac:dyDescent="0.25">
      <c r="F21">
        <v>20</v>
      </c>
      <c r="G21" s="1">
        <f t="shared" si="0"/>
        <v>43934.648495835725</v>
      </c>
      <c r="H21" s="1">
        <f t="shared" si="1"/>
        <v>219.67324247917864</v>
      </c>
      <c r="I21" s="1">
        <f t="shared" si="2"/>
        <v>335.42926722906861</v>
      </c>
      <c r="J21" s="1">
        <f t="shared" si="3"/>
        <v>43599.219228606657</v>
      </c>
    </row>
    <row r="22" spans="6:10" x14ac:dyDescent="0.25">
      <c r="F22">
        <v>21</v>
      </c>
      <c r="G22" s="1">
        <f t="shared" si="0"/>
        <v>43599.219228606657</v>
      </c>
      <c r="H22" s="1">
        <f t="shared" si="1"/>
        <v>217.9960961430333</v>
      </c>
      <c r="I22" s="1">
        <f t="shared" si="2"/>
        <v>337.10641356521393</v>
      </c>
      <c r="J22" s="1">
        <f t="shared" si="3"/>
        <v>43262.112815041444</v>
      </c>
    </row>
    <row r="23" spans="6:10" x14ac:dyDescent="0.25">
      <c r="F23">
        <v>22</v>
      </c>
      <c r="G23" s="1">
        <f t="shared" si="0"/>
        <v>43262.112815041444</v>
      </c>
      <c r="H23" s="1">
        <f t="shared" si="1"/>
        <v>216.31056407520722</v>
      </c>
      <c r="I23" s="1">
        <f t="shared" si="2"/>
        <v>338.79194563303997</v>
      </c>
      <c r="J23" s="1">
        <f t="shared" si="3"/>
        <v>42923.320869408402</v>
      </c>
    </row>
    <row r="24" spans="6:10" x14ac:dyDescent="0.25">
      <c r="F24">
        <v>23</v>
      </c>
      <c r="G24" s="1">
        <f t="shared" si="0"/>
        <v>42923.320869408402</v>
      </c>
      <c r="H24" s="1">
        <f t="shared" si="1"/>
        <v>214.61660434704203</v>
      </c>
      <c r="I24" s="1">
        <f t="shared" si="2"/>
        <v>340.4859053612052</v>
      </c>
      <c r="J24" s="1">
        <f t="shared" si="3"/>
        <v>42582.834964047201</v>
      </c>
    </row>
    <row r="25" spans="6:10" x14ac:dyDescent="0.25">
      <c r="F25">
        <v>24</v>
      </c>
      <c r="G25" s="1">
        <f t="shared" si="0"/>
        <v>42582.834964047201</v>
      </c>
      <c r="H25" s="1">
        <f t="shared" si="1"/>
        <v>212.91417482023601</v>
      </c>
      <c r="I25" s="1">
        <f t="shared" si="2"/>
        <v>342.18833488801124</v>
      </c>
      <c r="J25" s="1">
        <f t="shared" si="3"/>
        <v>42240.646629159186</v>
      </c>
    </row>
    <row r="26" spans="6:10" x14ac:dyDescent="0.25">
      <c r="F26">
        <v>25</v>
      </c>
      <c r="G26" s="1">
        <f t="shared" si="0"/>
        <v>42240.646629159186</v>
      </c>
      <c r="H26" s="1">
        <f t="shared" si="1"/>
        <v>211.20323314579593</v>
      </c>
      <c r="I26" s="1">
        <f t="shared" si="2"/>
        <v>343.89927656245129</v>
      </c>
      <c r="J26" s="1">
        <f t="shared" si="3"/>
        <v>41896.747352596736</v>
      </c>
    </row>
    <row r="27" spans="6:10" x14ac:dyDescent="0.25">
      <c r="F27">
        <v>26</v>
      </c>
      <c r="G27" s="1">
        <f t="shared" si="0"/>
        <v>41896.747352596736</v>
      </c>
      <c r="H27" s="1">
        <f t="shared" si="1"/>
        <v>209.48373676298368</v>
      </c>
      <c r="I27" s="1">
        <f t="shared" si="2"/>
        <v>345.61877294526357</v>
      </c>
      <c r="J27" s="1">
        <f t="shared" si="3"/>
        <v>41551.128579651471</v>
      </c>
    </row>
    <row r="28" spans="6:10" x14ac:dyDescent="0.25">
      <c r="F28">
        <v>27</v>
      </c>
      <c r="G28" s="1">
        <f t="shared" si="0"/>
        <v>41551.128579651471</v>
      </c>
      <c r="H28" s="1">
        <f t="shared" si="1"/>
        <v>207.75564289825735</v>
      </c>
      <c r="I28" s="1">
        <f t="shared" si="2"/>
        <v>347.34686680998988</v>
      </c>
      <c r="J28" s="1">
        <f t="shared" si="3"/>
        <v>41203.781712841483</v>
      </c>
    </row>
    <row r="29" spans="6:10" x14ac:dyDescent="0.25">
      <c r="F29">
        <v>28</v>
      </c>
      <c r="G29" s="1">
        <f t="shared" si="0"/>
        <v>41203.781712841483</v>
      </c>
      <c r="H29" s="1">
        <f t="shared" si="1"/>
        <v>206.01890856420741</v>
      </c>
      <c r="I29" s="1">
        <f t="shared" si="2"/>
        <v>349.08360114403979</v>
      </c>
      <c r="J29" s="1">
        <f t="shared" si="3"/>
        <v>40854.698111697442</v>
      </c>
    </row>
    <row r="30" spans="6:10" x14ac:dyDescent="0.25">
      <c r="F30">
        <v>29</v>
      </c>
      <c r="G30" s="1">
        <f t="shared" si="0"/>
        <v>40854.698111697442</v>
      </c>
      <c r="H30" s="1">
        <f t="shared" si="1"/>
        <v>204.27349055848723</v>
      </c>
      <c r="I30" s="1">
        <f t="shared" si="2"/>
        <v>350.82901914976003</v>
      </c>
      <c r="J30" s="1">
        <f t="shared" si="3"/>
        <v>40503.869092547684</v>
      </c>
    </row>
    <row r="31" spans="6:10" x14ac:dyDescent="0.25">
      <c r="F31">
        <v>30</v>
      </c>
      <c r="G31" s="1">
        <f t="shared" si="0"/>
        <v>40503.869092547684</v>
      </c>
      <c r="H31" s="1">
        <f t="shared" si="1"/>
        <v>202.51934546273841</v>
      </c>
      <c r="I31" s="1">
        <f t="shared" si="2"/>
        <v>352.58316424550878</v>
      </c>
      <c r="J31" s="1">
        <f t="shared" si="3"/>
        <v>40151.285928302175</v>
      </c>
    </row>
    <row r="32" spans="6:10" x14ac:dyDescent="0.25">
      <c r="F32">
        <v>31</v>
      </c>
      <c r="G32" s="1">
        <f t="shared" si="0"/>
        <v>40151.285928302175</v>
      </c>
      <c r="H32" s="1">
        <f t="shared" si="1"/>
        <v>200.75642964151089</v>
      </c>
      <c r="I32" s="1">
        <f t="shared" si="2"/>
        <v>354.34608006673636</v>
      </c>
      <c r="J32" s="1">
        <f t="shared" si="3"/>
        <v>39796.939848235437</v>
      </c>
    </row>
    <row r="33" spans="6:10" x14ac:dyDescent="0.25">
      <c r="F33">
        <v>32</v>
      </c>
      <c r="G33" s="1">
        <f t="shared" si="0"/>
        <v>39796.939848235437</v>
      </c>
      <c r="H33" s="1">
        <f t="shared" si="1"/>
        <v>198.9846992411772</v>
      </c>
      <c r="I33" s="1">
        <f t="shared" si="2"/>
        <v>356.11781046707006</v>
      </c>
      <c r="J33" s="1">
        <f t="shared" si="3"/>
        <v>39440.822037768368</v>
      </c>
    </row>
    <row r="34" spans="6:10" x14ac:dyDescent="0.25">
      <c r="F34">
        <v>33</v>
      </c>
      <c r="G34" s="1">
        <f t="shared" si="0"/>
        <v>39440.822037768368</v>
      </c>
      <c r="H34" s="1">
        <f t="shared" si="1"/>
        <v>197.20411018884184</v>
      </c>
      <c r="I34" s="1">
        <f t="shared" si="2"/>
        <v>357.89839951940542</v>
      </c>
      <c r="J34" s="1">
        <f t="shared" si="3"/>
        <v>39082.923638248962</v>
      </c>
    </row>
    <row r="35" spans="6:10" x14ac:dyDescent="0.25">
      <c r="F35">
        <v>34</v>
      </c>
      <c r="G35" s="1">
        <f t="shared" si="0"/>
        <v>39082.923638248962</v>
      </c>
      <c r="H35" s="1">
        <f t="shared" si="1"/>
        <v>195.41461819124481</v>
      </c>
      <c r="I35" s="1">
        <f t="shared" si="2"/>
        <v>359.68789151700241</v>
      </c>
      <c r="J35" s="1">
        <f t="shared" si="3"/>
        <v>38723.23574673196</v>
      </c>
    </row>
    <row r="36" spans="6:10" x14ac:dyDescent="0.25">
      <c r="F36">
        <v>35</v>
      </c>
      <c r="G36" s="1">
        <f t="shared" si="0"/>
        <v>38723.23574673196</v>
      </c>
      <c r="H36" s="1">
        <f t="shared" si="1"/>
        <v>193.61617873365981</v>
      </c>
      <c r="I36" s="1">
        <f t="shared" si="2"/>
        <v>361.48633097458742</v>
      </c>
      <c r="J36" s="1">
        <f t="shared" si="3"/>
        <v>38361.749415757375</v>
      </c>
    </row>
    <row r="37" spans="6:10" x14ac:dyDescent="0.25">
      <c r="F37">
        <v>36</v>
      </c>
      <c r="G37" s="1">
        <f t="shared" si="0"/>
        <v>38361.749415757375</v>
      </c>
      <c r="H37" s="1">
        <f t="shared" si="1"/>
        <v>191.80874707878687</v>
      </c>
      <c r="I37" s="1">
        <f t="shared" si="2"/>
        <v>363.29376262946039</v>
      </c>
      <c r="J37" s="1">
        <f t="shared" si="3"/>
        <v>37998.455653127916</v>
      </c>
    </row>
    <row r="38" spans="6:10" x14ac:dyDescent="0.25">
      <c r="F38">
        <v>37</v>
      </c>
      <c r="G38" s="1">
        <f t="shared" si="0"/>
        <v>37998.455653127916</v>
      </c>
      <c r="H38" s="1">
        <f t="shared" si="1"/>
        <v>189.99227826563958</v>
      </c>
      <c r="I38" s="1">
        <f t="shared" si="2"/>
        <v>365.11023144260764</v>
      </c>
      <c r="J38" s="1">
        <f t="shared" si="3"/>
        <v>37633.345421685306</v>
      </c>
    </row>
    <row r="39" spans="6:10" x14ac:dyDescent="0.25">
      <c r="F39">
        <v>38</v>
      </c>
      <c r="G39" s="1">
        <f t="shared" si="0"/>
        <v>37633.345421685306</v>
      </c>
      <c r="H39" s="1">
        <f t="shared" si="1"/>
        <v>188.16672710842653</v>
      </c>
      <c r="I39" s="1">
        <f t="shared" si="2"/>
        <v>366.9357825998207</v>
      </c>
      <c r="J39" s="1">
        <f t="shared" si="3"/>
        <v>37266.409639085483</v>
      </c>
    </row>
    <row r="40" spans="6:10" x14ac:dyDescent="0.25">
      <c r="F40">
        <v>39</v>
      </c>
      <c r="G40" s="1">
        <f t="shared" si="0"/>
        <v>37266.409639085483</v>
      </c>
      <c r="H40" s="1">
        <f t="shared" si="1"/>
        <v>186.3320481954274</v>
      </c>
      <c r="I40" s="1">
        <f t="shared" si="2"/>
        <v>368.77046151281979</v>
      </c>
      <c r="J40" s="1">
        <f t="shared" si="3"/>
        <v>36897.639177572666</v>
      </c>
    </row>
    <row r="41" spans="6:10" x14ac:dyDescent="0.25">
      <c r="F41">
        <v>40</v>
      </c>
      <c r="G41" s="1">
        <f t="shared" si="0"/>
        <v>36897.639177572666</v>
      </c>
      <c r="H41" s="1">
        <f t="shared" si="1"/>
        <v>184.48819588786333</v>
      </c>
      <c r="I41" s="1">
        <f t="shared" si="2"/>
        <v>370.61431382038393</v>
      </c>
      <c r="J41" s="1">
        <f t="shared" si="3"/>
        <v>36527.024863752282</v>
      </c>
    </row>
    <row r="42" spans="6:10" x14ac:dyDescent="0.25">
      <c r="F42">
        <v>41</v>
      </c>
      <c r="G42" s="1">
        <f t="shared" si="0"/>
        <v>36527.024863752282</v>
      </c>
      <c r="H42" s="1">
        <f t="shared" si="1"/>
        <v>182.6351243187614</v>
      </c>
      <c r="I42" s="1">
        <f t="shared" si="2"/>
        <v>372.4673853894858</v>
      </c>
      <c r="J42" s="1">
        <f t="shared" si="3"/>
        <v>36154.557478362796</v>
      </c>
    </row>
    <row r="43" spans="6:10" x14ac:dyDescent="0.25">
      <c r="F43">
        <v>42</v>
      </c>
      <c r="G43" s="1">
        <f t="shared" si="0"/>
        <v>36154.557478362796</v>
      </c>
      <c r="H43" s="1">
        <f t="shared" si="1"/>
        <v>180.77278739181398</v>
      </c>
      <c r="I43" s="1">
        <f t="shared" si="2"/>
        <v>374.32972231643328</v>
      </c>
      <c r="J43" s="1">
        <f t="shared" si="3"/>
        <v>35780.227756046363</v>
      </c>
    </row>
    <row r="44" spans="6:10" x14ac:dyDescent="0.25">
      <c r="F44">
        <v>43</v>
      </c>
      <c r="G44" s="1">
        <f t="shared" si="0"/>
        <v>35780.227756046363</v>
      </c>
      <c r="H44" s="1">
        <f t="shared" si="1"/>
        <v>178.9011387802318</v>
      </c>
      <c r="I44" s="1">
        <f t="shared" si="2"/>
        <v>376.20137092801542</v>
      </c>
      <c r="J44" s="1">
        <f t="shared" si="3"/>
        <v>35404.026385118348</v>
      </c>
    </row>
    <row r="45" spans="6:10" x14ac:dyDescent="0.25">
      <c r="F45">
        <v>44</v>
      </c>
      <c r="G45" s="1">
        <f t="shared" si="0"/>
        <v>35404.026385118348</v>
      </c>
      <c r="H45" s="1">
        <f t="shared" si="1"/>
        <v>177.02013192559176</v>
      </c>
      <c r="I45" s="1">
        <f t="shared" si="2"/>
        <v>378.0823777826555</v>
      </c>
      <c r="J45" s="1">
        <f t="shared" si="3"/>
        <v>35025.944007335689</v>
      </c>
    </row>
    <row r="46" spans="6:10" x14ac:dyDescent="0.25">
      <c r="F46">
        <v>45</v>
      </c>
      <c r="G46" s="1">
        <f t="shared" si="0"/>
        <v>35025.944007335689</v>
      </c>
      <c r="H46" s="1">
        <f t="shared" si="1"/>
        <v>175.12972003667844</v>
      </c>
      <c r="I46" s="1">
        <f t="shared" si="2"/>
        <v>379.97278967156876</v>
      </c>
      <c r="J46" s="1">
        <f t="shared" si="3"/>
        <v>34645.971217664119</v>
      </c>
    </row>
    <row r="47" spans="6:10" x14ac:dyDescent="0.25">
      <c r="F47">
        <v>46</v>
      </c>
      <c r="G47" s="1">
        <f t="shared" si="0"/>
        <v>34645.971217664119</v>
      </c>
      <c r="H47" s="1">
        <f t="shared" si="1"/>
        <v>173.22985608832059</v>
      </c>
      <c r="I47" s="1">
        <f t="shared" si="2"/>
        <v>381.87265361992661</v>
      </c>
      <c r="J47" s="1">
        <f t="shared" si="3"/>
        <v>34264.098564044194</v>
      </c>
    </row>
    <row r="48" spans="6:10" x14ac:dyDescent="0.25">
      <c r="F48">
        <v>47</v>
      </c>
      <c r="G48" s="1">
        <f t="shared" si="0"/>
        <v>34264.098564044194</v>
      </c>
      <c r="H48" s="1">
        <f t="shared" si="1"/>
        <v>171.32049282022098</v>
      </c>
      <c r="I48" s="1">
        <f t="shared" si="2"/>
        <v>383.78201688802625</v>
      </c>
      <c r="J48" s="1">
        <f t="shared" si="3"/>
        <v>33880.316547156166</v>
      </c>
    </row>
    <row r="49" spans="6:10" x14ac:dyDescent="0.25">
      <c r="F49">
        <v>48</v>
      </c>
      <c r="G49" s="1">
        <f t="shared" si="0"/>
        <v>33880.316547156166</v>
      </c>
      <c r="H49" s="1">
        <f t="shared" si="1"/>
        <v>169.40158273578083</v>
      </c>
      <c r="I49" s="1">
        <f t="shared" si="2"/>
        <v>385.70092697246639</v>
      </c>
      <c r="J49" s="1">
        <f t="shared" si="3"/>
        <v>33494.6156201837</v>
      </c>
    </row>
    <row r="50" spans="6:10" x14ac:dyDescent="0.25">
      <c r="F50">
        <v>49</v>
      </c>
      <c r="G50" s="1">
        <f t="shared" si="0"/>
        <v>33494.6156201837</v>
      </c>
      <c r="H50" s="1">
        <f t="shared" si="1"/>
        <v>167.47307810091851</v>
      </c>
      <c r="I50" s="1">
        <f t="shared" si="2"/>
        <v>387.62943160732868</v>
      </c>
      <c r="J50" s="1">
        <f t="shared" si="3"/>
        <v>33106.986188576375</v>
      </c>
    </row>
    <row r="51" spans="6:10" x14ac:dyDescent="0.25">
      <c r="F51">
        <v>50</v>
      </c>
      <c r="G51" s="1">
        <f t="shared" si="0"/>
        <v>33106.986188576375</v>
      </c>
      <c r="H51" s="1">
        <f t="shared" si="1"/>
        <v>165.53493094288189</v>
      </c>
      <c r="I51" s="1">
        <f t="shared" si="2"/>
        <v>389.56757876536534</v>
      </c>
      <c r="J51" s="1">
        <f t="shared" si="3"/>
        <v>32717.418609811011</v>
      </c>
    </row>
    <row r="52" spans="6:10" x14ac:dyDescent="0.25">
      <c r="F52">
        <v>51</v>
      </c>
      <c r="G52" s="1">
        <f t="shared" si="0"/>
        <v>32717.418609811011</v>
      </c>
      <c r="H52" s="1">
        <f t="shared" si="1"/>
        <v>163.58709304905506</v>
      </c>
      <c r="I52" s="1">
        <f t="shared" si="2"/>
        <v>391.51541665919217</v>
      </c>
      <c r="J52" s="1">
        <f t="shared" si="3"/>
        <v>32325.903193151818</v>
      </c>
    </row>
    <row r="53" spans="6:10" x14ac:dyDescent="0.25">
      <c r="F53">
        <v>52</v>
      </c>
      <c r="G53" s="1">
        <f t="shared" si="0"/>
        <v>32325.903193151818</v>
      </c>
      <c r="H53" s="1">
        <f t="shared" si="1"/>
        <v>161.62951596575908</v>
      </c>
      <c r="I53" s="1">
        <f t="shared" si="2"/>
        <v>393.47299374248814</v>
      </c>
      <c r="J53" s="1">
        <f t="shared" si="3"/>
        <v>31932.430199409329</v>
      </c>
    </row>
    <row r="54" spans="6:10" x14ac:dyDescent="0.25">
      <c r="F54">
        <v>53</v>
      </c>
      <c r="G54" s="1">
        <f t="shared" si="0"/>
        <v>31932.430199409329</v>
      </c>
      <c r="H54" s="1">
        <f t="shared" si="1"/>
        <v>159.66215099704664</v>
      </c>
      <c r="I54" s="1">
        <f t="shared" si="2"/>
        <v>395.44035871120059</v>
      </c>
      <c r="J54" s="1">
        <f t="shared" si="3"/>
        <v>31536.98984069813</v>
      </c>
    </row>
    <row r="55" spans="6:10" x14ac:dyDescent="0.25">
      <c r="F55">
        <v>54</v>
      </c>
      <c r="G55" s="1">
        <f t="shared" si="0"/>
        <v>31536.98984069813</v>
      </c>
      <c r="H55" s="1">
        <f t="shared" si="1"/>
        <v>157.68494920349065</v>
      </c>
      <c r="I55" s="1">
        <f t="shared" si="2"/>
        <v>397.41756050475658</v>
      </c>
      <c r="J55" s="1">
        <f t="shared" si="3"/>
        <v>31139.572280193373</v>
      </c>
    </row>
    <row r="56" spans="6:10" x14ac:dyDescent="0.25">
      <c r="F56">
        <v>55</v>
      </c>
      <c r="G56" s="1">
        <f t="shared" si="0"/>
        <v>31139.572280193373</v>
      </c>
      <c r="H56" s="1">
        <f t="shared" si="1"/>
        <v>155.69786140096687</v>
      </c>
      <c r="I56" s="1">
        <f t="shared" si="2"/>
        <v>399.40464830728035</v>
      </c>
      <c r="J56" s="1">
        <f t="shared" si="3"/>
        <v>30740.167631886092</v>
      </c>
    </row>
    <row r="57" spans="6:10" x14ac:dyDescent="0.25">
      <c r="F57">
        <v>56</v>
      </c>
      <c r="G57" s="1">
        <f t="shared" si="0"/>
        <v>30740.167631886092</v>
      </c>
      <c r="H57" s="1">
        <f t="shared" si="1"/>
        <v>153.70083815943048</v>
      </c>
      <c r="I57" s="1">
        <f t="shared" si="2"/>
        <v>401.40167154881675</v>
      </c>
      <c r="J57" s="1">
        <f t="shared" si="3"/>
        <v>30338.765960337274</v>
      </c>
    </row>
    <row r="58" spans="6:10" x14ac:dyDescent="0.25">
      <c r="F58">
        <v>57</v>
      </c>
      <c r="G58" s="1">
        <f t="shared" si="0"/>
        <v>30338.765960337274</v>
      </c>
      <c r="H58" s="1">
        <f t="shared" si="1"/>
        <v>151.69382980168638</v>
      </c>
      <c r="I58" s="1">
        <f t="shared" si="2"/>
        <v>403.40867990656085</v>
      </c>
      <c r="J58" s="1">
        <f t="shared" si="3"/>
        <v>29935.357280430711</v>
      </c>
    </row>
    <row r="59" spans="6:10" x14ac:dyDescent="0.25">
      <c r="F59">
        <v>58</v>
      </c>
      <c r="G59" s="1">
        <f t="shared" si="0"/>
        <v>29935.357280430711</v>
      </c>
      <c r="H59" s="1">
        <f t="shared" si="1"/>
        <v>149.67678640215357</v>
      </c>
      <c r="I59" s="1">
        <f t="shared" si="2"/>
        <v>405.42572330609369</v>
      </c>
      <c r="J59" s="1">
        <f t="shared" si="3"/>
        <v>29529.931557124619</v>
      </c>
    </row>
    <row r="60" spans="6:10" x14ac:dyDescent="0.25">
      <c r="F60">
        <v>59</v>
      </c>
      <c r="G60" s="1">
        <f t="shared" si="0"/>
        <v>29529.931557124619</v>
      </c>
      <c r="H60" s="1">
        <f t="shared" si="1"/>
        <v>147.64965778562311</v>
      </c>
      <c r="I60" s="1">
        <f t="shared" si="2"/>
        <v>407.45285192262412</v>
      </c>
      <c r="J60" s="1">
        <f t="shared" si="3"/>
        <v>29122.478705201996</v>
      </c>
    </row>
    <row r="61" spans="6:10" x14ac:dyDescent="0.25">
      <c r="F61">
        <v>60</v>
      </c>
      <c r="G61" s="1">
        <f t="shared" si="0"/>
        <v>29122.478705201996</v>
      </c>
      <c r="H61" s="1">
        <f t="shared" si="1"/>
        <v>145.61239352600998</v>
      </c>
      <c r="I61" s="1">
        <f t="shared" si="2"/>
        <v>409.49011618223722</v>
      </c>
      <c r="J61" s="1">
        <f t="shared" si="3"/>
        <v>28712.988589019758</v>
      </c>
    </row>
    <row r="62" spans="6:10" x14ac:dyDescent="0.25">
      <c r="F62">
        <v>61</v>
      </c>
      <c r="G62" s="1">
        <f t="shared" si="0"/>
        <v>28712.988589019758</v>
      </c>
      <c r="H62" s="1">
        <f t="shared" si="1"/>
        <v>143.56494294509881</v>
      </c>
      <c r="I62" s="1">
        <f t="shared" si="2"/>
        <v>411.53756676314845</v>
      </c>
      <c r="J62" s="1">
        <f t="shared" si="3"/>
        <v>28301.45102225661</v>
      </c>
    </row>
    <row r="63" spans="6:10" x14ac:dyDescent="0.25">
      <c r="F63">
        <v>62</v>
      </c>
      <c r="G63" s="1">
        <f t="shared" si="0"/>
        <v>28301.45102225661</v>
      </c>
      <c r="H63" s="1">
        <f t="shared" si="1"/>
        <v>141.50725511128306</v>
      </c>
      <c r="I63" s="1">
        <f t="shared" si="2"/>
        <v>413.5952545969642</v>
      </c>
      <c r="J63" s="1">
        <f t="shared" si="3"/>
        <v>27887.855767659647</v>
      </c>
    </row>
    <row r="64" spans="6:10" x14ac:dyDescent="0.25">
      <c r="F64">
        <v>63</v>
      </c>
      <c r="G64" s="1">
        <f t="shared" si="0"/>
        <v>27887.855767659647</v>
      </c>
      <c r="H64" s="1">
        <f t="shared" si="1"/>
        <v>139.43927883829824</v>
      </c>
      <c r="I64" s="1">
        <f t="shared" si="2"/>
        <v>415.66323086994896</v>
      </c>
      <c r="J64" s="1">
        <f t="shared" si="3"/>
        <v>27472.192536789698</v>
      </c>
    </row>
    <row r="65" spans="6:10" x14ac:dyDescent="0.25">
      <c r="F65">
        <v>64</v>
      </c>
      <c r="G65" s="1">
        <f t="shared" si="0"/>
        <v>27472.192536789698</v>
      </c>
      <c r="H65" s="1">
        <f t="shared" si="1"/>
        <v>137.36096268394849</v>
      </c>
      <c r="I65" s="1">
        <f t="shared" si="2"/>
        <v>417.74154702429871</v>
      </c>
      <c r="J65" s="1">
        <f t="shared" si="3"/>
        <v>27054.450989765399</v>
      </c>
    </row>
    <row r="66" spans="6:10" x14ac:dyDescent="0.25">
      <c r="F66">
        <v>65</v>
      </c>
      <c r="G66" s="1">
        <f t="shared" si="0"/>
        <v>27054.450989765399</v>
      </c>
      <c r="H66" s="1">
        <f t="shared" si="1"/>
        <v>135.272254948827</v>
      </c>
      <c r="I66" s="1">
        <f t="shared" si="2"/>
        <v>419.8302547594202</v>
      </c>
      <c r="J66" s="1">
        <f t="shared" si="3"/>
        <v>26634.620735005978</v>
      </c>
    </row>
    <row r="67" spans="6:10" x14ac:dyDescent="0.25">
      <c r="F67">
        <v>66</v>
      </c>
      <c r="G67" s="1">
        <f t="shared" si="0"/>
        <v>26634.620735005978</v>
      </c>
      <c r="H67" s="1">
        <f t="shared" si="1"/>
        <v>133.17310367502989</v>
      </c>
      <c r="I67" s="1">
        <f t="shared" si="2"/>
        <v>421.92940603321733</v>
      </c>
      <c r="J67" s="1">
        <f t="shared" si="3"/>
        <v>26212.69132897276</v>
      </c>
    </row>
    <row r="68" spans="6:10" x14ac:dyDescent="0.25">
      <c r="F68">
        <v>67</v>
      </c>
      <c r="G68" s="1">
        <f t="shared" ref="G68:G121" si="4">J67</f>
        <v>26212.69132897276</v>
      </c>
      <c r="H68" s="1">
        <f t="shared" ref="H68:H121" si="5">$B$4*G68</f>
        <v>131.06345664486381</v>
      </c>
      <c r="I68" s="1">
        <f t="shared" ref="I68:I121" si="6">$B$7-H68</f>
        <v>424.03905306338345</v>
      </c>
      <c r="J68" s="1">
        <f t="shared" ref="J68:J121" si="7">G68-I68</f>
        <v>25788.652275909375</v>
      </c>
    </row>
    <row r="69" spans="6:10" x14ac:dyDescent="0.25">
      <c r="F69">
        <v>68</v>
      </c>
      <c r="G69" s="1">
        <f t="shared" si="4"/>
        <v>25788.652275909375</v>
      </c>
      <c r="H69" s="1">
        <f t="shared" si="5"/>
        <v>128.94326137954687</v>
      </c>
      <c r="I69" s="1">
        <f t="shared" si="6"/>
        <v>426.15924832870036</v>
      </c>
      <c r="J69" s="1">
        <f t="shared" si="7"/>
        <v>25362.493027580676</v>
      </c>
    </row>
    <row r="70" spans="6:10" x14ac:dyDescent="0.25">
      <c r="F70">
        <v>69</v>
      </c>
      <c r="G70" s="1">
        <f t="shared" si="4"/>
        <v>25362.493027580676</v>
      </c>
      <c r="H70" s="1">
        <f t="shared" si="5"/>
        <v>126.81246513790339</v>
      </c>
      <c r="I70" s="1">
        <f t="shared" si="6"/>
        <v>428.29004457034387</v>
      </c>
      <c r="J70" s="1">
        <f t="shared" si="7"/>
        <v>24934.202983010331</v>
      </c>
    </row>
    <row r="71" spans="6:10" x14ac:dyDescent="0.25">
      <c r="F71">
        <v>70</v>
      </c>
      <c r="G71" s="1">
        <f t="shared" si="4"/>
        <v>24934.202983010331</v>
      </c>
      <c r="H71" s="1">
        <f t="shared" si="5"/>
        <v>124.67101491505166</v>
      </c>
      <c r="I71" s="1">
        <f t="shared" si="6"/>
        <v>430.43149479319555</v>
      </c>
      <c r="J71" s="1">
        <f t="shared" si="7"/>
        <v>24503.771488217135</v>
      </c>
    </row>
    <row r="72" spans="6:10" x14ac:dyDescent="0.25">
      <c r="F72">
        <v>71</v>
      </c>
      <c r="G72" s="1">
        <f t="shared" si="4"/>
        <v>24503.771488217135</v>
      </c>
      <c r="H72" s="1">
        <f t="shared" si="5"/>
        <v>122.51885744108567</v>
      </c>
      <c r="I72" s="1">
        <f t="shared" si="6"/>
        <v>432.58365226716154</v>
      </c>
      <c r="J72" s="1">
        <f t="shared" si="7"/>
        <v>24071.187835949975</v>
      </c>
    </row>
    <row r="73" spans="6:10" x14ac:dyDescent="0.25">
      <c r="F73">
        <v>72</v>
      </c>
      <c r="G73" s="1">
        <f t="shared" si="4"/>
        <v>24071.187835949975</v>
      </c>
      <c r="H73" s="1">
        <f t="shared" si="5"/>
        <v>120.35593917974988</v>
      </c>
      <c r="I73" s="1">
        <f t="shared" si="6"/>
        <v>434.74657052849733</v>
      </c>
      <c r="J73" s="1">
        <f t="shared" si="7"/>
        <v>23636.441265421479</v>
      </c>
    </row>
    <row r="74" spans="6:10" x14ac:dyDescent="0.25">
      <c r="F74">
        <v>73</v>
      </c>
      <c r="G74" s="1">
        <f t="shared" si="4"/>
        <v>23636.441265421479</v>
      </c>
      <c r="H74" s="1">
        <f t="shared" si="5"/>
        <v>118.18220632710739</v>
      </c>
      <c r="I74" s="1">
        <f t="shared" si="6"/>
        <v>436.92030338113983</v>
      </c>
      <c r="J74" s="1">
        <f t="shared" si="7"/>
        <v>23199.52096204034</v>
      </c>
    </row>
    <row r="75" spans="6:10" x14ac:dyDescent="0.25">
      <c r="F75">
        <v>74</v>
      </c>
      <c r="G75" s="1">
        <f t="shared" si="4"/>
        <v>23199.52096204034</v>
      </c>
      <c r="H75" s="1">
        <f t="shared" si="5"/>
        <v>115.99760481020171</v>
      </c>
      <c r="I75" s="1">
        <f t="shared" si="6"/>
        <v>439.1049048980455</v>
      </c>
      <c r="J75" s="1">
        <f t="shared" si="7"/>
        <v>22760.416057142294</v>
      </c>
    </row>
    <row r="76" spans="6:10" x14ac:dyDescent="0.25">
      <c r="F76">
        <v>75</v>
      </c>
      <c r="G76" s="1">
        <f t="shared" si="4"/>
        <v>22760.416057142294</v>
      </c>
      <c r="H76" s="1">
        <f t="shared" si="5"/>
        <v>113.80208028571147</v>
      </c>
      <c r="I76" s="1">
        <f t="shared" si="6"/>
        <v>441.30042942253579</v>
      </c>
      <c r="J76" s="1">
        <f t="shared" si="7"/>
        <v>22319.115627719759</v>
      </c>
    </row>
    <row r="77" spans="6:10" x14ac:dyDescent="0.25">
      <c r="F77">
        <v>76</v>
      </c>
      <c r="G77" s="1">
        <f t="shared" si="4"/>
        <v>22319.115627719759</v>
      </c>
      <c r="H77" s="1">
        <f t="shared" si="5"/>
        <v>111.5955781385988</v>
      </c>
      <c r="I77" s="1">
        <f t="shared" si="6"/>
        <v>443.50693156964843</v>
      </c>
      <c r="J77" s="1">
        <f t="shared" si="7"/>
        <v>21875.60869615011</v>
      </c>
    </row>
    <row r="78" spans="6:10" x14ac:dyDescent="0.25">
      <c r="F78">
        <v>77</v>
      </c>
      <c r="G78" s="1">
        <f t="shared" si="4"/>
        <v>21875.60869615011</v>
      </c>
      <c r="H78" s="1">
        <f t="shared" si="5"/>
        <v>109.37804348075055</v>
      </c>
      <c r="I78" s="1">
        <f t="shared" si="6"/>
        <v>445.72446622749669</v>
      </c>
      <c r="J78" s="1">
        <f t="shared" si="7"/>
        <v>21429.884229922613</v>
      </c>
    </row>
    <row r="79" spans="6:10" x14ac:dyDescent="0.25">
      <c r="F79">
        <v>78</v>
      </c>
      <c r="G79" s="1">
        <f t="shared" si="4"/>
        <v>21429.884229922613</v>
      </c>
      <c r="H79" s="1">
        <f t="shared" si="5"/>
        <v>107.14942114961306</v>
      </c>
      <c r="I79" s="1">
        <f t="shared" si="6"/>
        <v>447.95308855863414</v>
      </c>
      <c r="J79" s="1">
        <f t="shared" si="7"/>
        <v>20981.931141363977</v>
      </c>
    </row>
    <row r="80" spans="6:10" x14ac:dyDescent="0.25">
      <c r="F80">
        <v>79</v>
      </c>
      <c r="G80" s="1">
        <f t="shared" si="4"/>
        <v>20981.931141363977</v>
      </c>
      <c r="H80" s="1">
        <f t="shared" si="5"/>
        <v>104.90965570681989</v>
      </c>
      <c r="I80" s="1">
        <f t="shared" si="6"/>
        <v>450.19285400142735</v>
      </c>
      <c r="J80" s="1">
        <f t="shared" si="7"/>
        <v>20531.73828736255</v>
      </c>
    </row>
    <row r="81" spans="6:10" x14ac:dyDescent="0.25">
      <c r="F81">
        <v>80</v>
      </c>
      <c r="G81" s="1">
        <f t="shared" si="4"/>
        <v>20531.73828736255</v>
      </c>
      <c r="H81" s="1">
        <f t="shared" si="5"/>
        <v>102.65869143681276</v>
      </c>
      <c r="I81" s="1">
        <f t="shared" si="6"/>
        <v>452.44381827143445</v>
      </c>
      <c r="J81" s="1">
        <f t="shared" si="7"/>
        <v>20079.294469091117</v>
      </c>
    </row>
    <row r="82" spans="6:10" x14ac:dyDescent="0.25">
      <c r="F82">
        <v>81</v>
      </c>
      <c r="G82" s="1">
        <f t="shared" si="4"/>
        <v>20079.294469091117</v>
      </c>
      <c r="H82" s="1">
        <f t="shared" si="5"/>
        <v>100.39647234545559</v>
      </c>
      <c r="I82" s="1">
        <f t="shared" si="6"/>
        <v>454.70603736279162</v>
      </c>
      <c r="J82" s="1">
        <f t="shared" si="7"/>
        <v>19624.588431728327</v>
      </c>
    </row>
    <row r="83" spans="6:10" x14ac:dyDescent="0.25">
      <c r="F83">
        <v>82</v>
      </c>
      <c r="G83" s="1">
        <f t="shared" si="4"/>
        <v>19624.588431728327</v>
      </c>
      <c r="H83" s="1">
        <f t="shared" si="5"/>
        <v>98.122942158641635</v>
      </c>
      <c r="I83" s="1">
        <f t="shared" si="6"/>
        <v>456.97956754960558</v>
      </c>
      <c r="J83" s="1">
        <f t="shared" si="7"/>
        <v>19167.608864178721</v>
      </c>
    </row>
    <row r="84" spans="6:10" x14ac:dyDescent="0.25">
      <c r="F84">
        <v>83</v>
      </c>
      <c r="G84" s="1">
        <f t="shared" si="4"/>
        <v>19167.608864178721</v>
      </c>
      <c r="H84" s="1">
        <f t="shared" si="5"/>
        <v>95.838044320893601</v>
      </c>
      <c r="I84" s="1">
        <f t="shared" si="6"/>
        <v>459.26446538735365</v>
      </c>
      <c r="J84" s="1">
        <f t="shared" si="7"/>
        <v>18708.344398791367</v>
      </c>
    </row>
    <row r="85" spans="6:10" x14ac:dyDescent="0.25">
      <c r="F85">
        <v>84</v>
      </c>
      <c r="G85" s="1">
        <f t="shared" si="4"/>
        <v>18708.344398791367</v>
      </c>
      <c r="H85" s="1">
        <f t="shared" si="5"/>
        <v>93.541721993956841</v>
      </c>
      <c r="I85" s="1">
        <f t="shared" si="6"/>
        <v>461.56078771429037</v>
      </c>
      <c r="J85" s="1">
        <f t="shared" si="7"/>
        <v>18246.783611077077</v>
      </c>
    </row>
    <row r="86" spans="6:10" x14ac:dyDescent="0.25">
      <c r="F86">
        <v>85</v>
      </c>
      <c r="G86" s="1">
        <f t="shared" si="4"/>
        <v>18246.783611077077</v>
      </c>
      <c r="H86" s="1">
        <f t="shared" si="5"/>
        <v>91.233918055385388</v>
      </c>
      <c r="I86" s="1">
        <f t="shared" si="6"/>
        <v>463.86859165286182</v>
      </c>
      <c r="J86" s="1">
        <f t="shared" si="7"/>
        <v>17782.915019424214</v>
      </c>
    </row>
    <row r="87" spans="6:10" x14ac:dyDescent="0.25">
      <c r="F87">
        <v>86</v>
      </c>
      <c r="G87" s="1">
        <f t="shared" si="4"/>
        <v>17782.915019424214</v>
      </c>
      <c r="H87" s="1">
        <f t="shared" si="5"/>
        <v>88.914575097121073</v>
      </c>
      <c r="I87" s="1">
        <f t="shared" si="6"/>
        <v>466.18793461112614</v>
      </c>
      <c r="J87" s="1">
        <f t="shared" si="7"/>
        <v>17316.727084813087</v>
      </c>
    </row>
    <row r="88" spans="6:10" x14ac:dyDescent="0.25">
      <c r="F88">
        <v>87</v>
      </c>
      <c r="G88" s="1">
        <f t="shared" si="4"/>
        <v>17316.727084813087</v>
      </c>
      <c r="H88" s="1">
        <f t="shared" si="5"/>
        <v>86.583635424065434</v>
      </c>
      <c r="I88" s="1">
        <f t="shared" si="6"/>
        <v>468.51887428418178</v>
      </c>
      <c r="J88" s="1">
        <f t="shared" si="7"/>
        <v>16848.208210528905</v>
      </c>
    </row>
    <row r="89" spans="6:10" x14ac:dyDescent="0.25">
      <c r="F89">
        <v>88</v>
      </c>
      <c r="G89" s="1">
        <f t="shared" si="4"/>
        <v>16848.208210528905</v>
      </c>
      <c r="H89" s="1">
        <f t="shared" si="5"/>
        <v>84.241041052644519</v>
      </c>
      <c r="I89" s="1">
        <f t="shared" si="6"/>
        <v>470.86146865560272</v>
      </c>
      <c r="J89" s="1">
        <f t="shared" si="7"/>
        <v>16377.346741873302</v>
      </c>
    </row>
    <row r="90" spans="6:10" x14ac:dyDescent="0.25">
      <c r="F90">
        <v>89</v>
      </c>
      <c r="G90" s="1">
        <f t="shared" si="4"/>
        <v>16377.346741873302</v>
      </c>
      <c r="H90" s="1">
        <f t="shared" si="5"/>
        <v>81.88673370936651</v>
      </c>
      <c r="I90" s="1">
        <f t="shared" si="6"/>
        <v>473.2157759988807</v>
      </c>
      <c r="J90" s="1">
        <f t="shared" si="7"/>
        <v>15904.130965874421</v>
      </c>
    </row>
    <row r="91" spans="6:10" x14ac:dyDescent="0.25">
      <c r="F91">
        <v>90</v>
      </c>
      <c r="G91" s="1">
        <f t="shared" si="4"/>
        <v>15904.130965874421</v>
      </c>
      <c r="H91" s="1">
        <f t="shared" si="5"/>
        <v>79.520654829372106</v>
      </c>
      <c r="I91" s="1">
        <f t="shared" si="6"/>
        <v>475.58185487887511</v>
      </c>
      <c r="J91" s="1">
        <f t="shared" si="7"/>
        <v>15428.549110995546</v>
      </c>
    </row>
    <row r="92" spans="6:10" x14ac:dyDescent="0.25">
      <c r="F92">
        <v>91</v>
      </c>
      <c r="G92" s="1">
        <f t="shared" si="4"/>
        <v>15428.549110995546</v>
      </c>
      <c r="H92" s="1">
        <f t="shared" si="5"/>
        <v>77.142745554977736</v>
      </c>
      <c r="I92" s="1">
        <f t="shared" si="6"/>
        <v>477.95976415326948</v>
      </c>
      <c r="J92" s="1">
        <f t="shared" si="7"/>
        <v>14950.589346842276</v>
      </c>
    </row>
    <row r="93" spans="6:10" x14ac:dyDescent="0.25">
      <c r="F93">
        <v>92</v>
      </c>
      <c r="G93" s="1">
        <f t="shared" si="4"/>
        <v>14950.589346842276</v>
      </c>
      <c r="H93" s="1">
        <f t="shared" si="5"/>
        <v>74.752946734211378</v>
      </c>
      <c r="I93" s="1">
        <f t="shared" si="6"/>
        <v>480.34956297403585</v>
      </c>
      <c r="J93" s="1">
        <f t="shared" si="7"/>
        <v>14470.239783868241</v>
      </c>
    </row>
    <row r="94" spans="6:10" x14ac:dyDescent="0.25">
      <c r="F94">
        <v>93</v>
      </c>
      <c r="G94" s="1">
        <f t="shared" si="4"/>
        <v>14470.239783868241</v>
      </c>
      <c r="H94" s="1">
        <f t="shared" si="5"/>
        <v>72.351198919341201</v>
      </c>
      <c r="I94" s="1">
        <f t="shared" si="6"/>
        <v>482.75131078890604</v>
      </c>
      <c r="J94" s="1">
        <f t="shared" si="7"/>
        <v>13987.488473079335</v>
      </c>
    </row>
    <row r="95" spans="6:10" x14ac:dyDescent="0.25">
      <c r="F95">
        <v>94</v>
      </c>
      <c r="G95" s="1">
        <f t="shared" si="4"/>
        <v>13987.488473079335</v>
      </c>
      <c r="H95" s="1">
        <f t="shared" si="5"/>
        <v>69.937442365396677</v>
      </c>
      <c r="I95" s="1">
        <f t="shared" si="6"/>
        <v>485.16506734285053</v>
      </c>
      <c r="J95" s="1">
        <f t="shared" si="7"/>
        <v>13502.323405736484</v>
      </c>
    </row>
    <row r="96" spans="6:10" x14ac:dyDescent="0.25">
      <c r="F96">
        <v>95</v>
      </c>
      <c r="G96" s="1">
        <f t="shared" si="4"/>
        <v>13502.323405736484</v>
      </c>
      <c r="H96" s="1">
        <f t="shared" si="5"/>
        <v>67.511617028682423</v>
      </c>
      <c r="I96" s="1">
        <f t="shared" si="6"/>
        <v>487.59089267956483</v>
      </c>
      <c r="J96" s="1">
        <f t="shared" si="7"/>
        <v>13014.732513056919</v>
      </c>
    </row>
    <row r="97" spans="6:10" x14ac:dyDescent="0.25">
      <c r="F97">
        <v>96</v>
      </c>
      <c r="G97" s="1">
        <f t="shared" si="4"/>
        <v>13014.732513056919</v>
      </c>
      <c r="H97" s="1">
        <f t="shared" si="5"/>
        <v>65.073662565284593</v>
      </c>
      <c r="I97" s="1">
        <f t="shared" si="6"/>
        <v>490.0288471429626</v>
      </c>
      <c r="J97" s="1">
        <f t="shared" si="7"/>
        <v>12524.703665913956</v>
      </c>
    </row>
    <row r="98" spans="6:10" x14ac:dyDescent="0.25">
      <c r="F98">
        <v>97</v>
      </c>
      <c r="G98" s="1">
        <f t="shared" si="4"/>
        <v>12524.703665913956</v>
      </c>
      <c r="H98" s="1">
        <f t="shared" si="5"/>
        <v>62.623518329569784</v>
      </c>
      <c r="I98" s="1">
        <f t="shared" si="6"/>
        <v>492.47899137867745</v>
      </c>
      <c r="J98" s="1">
        <f t="shared" si="7"/>
        <v>12032.224674535279</v>
      </c>
    </row>
    <row r="99" spans="6:10" x14ac:dyDescent="0.25">
      <c r="F99">
        <v>98</v>
      </c>
      <c r="G99" s="1">
        <f t="shared" si="4"/>
        <v>12032.224674535279</v>
      </c>
      <c r="H99" s="1">
        <f t="shared" si="5"/>
        <v>60.161123372676393</v>
      </c>
      <c r="I99" s="1">
        <f t="shared" si="6"/>
        <v>494.94138633557083</v>
      </c>
      <c r="J99" s="1">
        <f t="shared" si="7"/>
        <v>11537.283288199707</v>
      </c>
    </row>
    <row r="100" spans="6:10" x14ac:dyDescent="0.25">
      <c r="F100">
        <v>99</v>
      </c>
      <c r="G100" s="1">
        <f t="shared" si="4"/>
        <v>11537.283288199707</v>
      </c>
      <c r="H100" s="1">
        <f t="shared" si="5"/>
        <v>57.686416440998535</v>
      </c>
      <c r="I100" s="1">
        <f t="shared" si="6"/>
        <v>497.4160932672487</v>
      </c>
      <c r="J100" s="1">
        <f t="shared" si="7"/>
        <v>11039.867194932458</v>
      </c>
    </row>
    <row r="101" spans="6:10" x14ac:dyDescent="0.25">
      <c r="F101">
        <v>100</v>
      </c>
      <c r="G101" s="1">
        <f t="shared" si="4"/>
        <v>11039.867194932458</v>
      </c>
      <c r="H101" s="1">
        <f t="shared" si="5"/>
        <v>55.19933597466229</v>
      </c>
      <c r="I101" s="1">
        <f t="shared" si="6"/>
        <v>499.90317373358494</v>
      </c>
      <c r="J101" s="1">
        <f t="shared" si="7"/>
        <v>10539.964021198874</v>
      </c>
    </row>
    <row r="102" spans="6:10" x14ac:dyDescent="0.25">
      <c r="F102">
        <v>101</v>
      </c>
      <c r="G102" s="1">
        <f t="shared" si="4"/>
        <v>10539.964021198874</v>
      </c>
      <c r="H102" s="1">
        <f t="shared" si="5"/>
        <v>52.69982010599437</v>
      </c>
      <c r="I102" s="1">
        <f t="shared" si="6"/>
        <v>502.40268960225285</v>
      </c>
      <c r="J102" s="1">
        <f t="shared" si="7"/>
        <v>10037.56133159662</v>
      </c>
    </row>
    <row r="103" spans="6:10" x14ac:dyDescent="0.25">
      <c r="F103">
        <v>102</v>
      </c>
      <c r="G103" s="1">
        <f t="shared" si="4"/>
        <v>10037.56133159662</v>
      </c>
      <c r="H103" s="1">
        <f t="shared" si="5"/>
        <v>50.187806657983103</v>
      </c>
      <c r="I103" s="1">
        <f t="shared" si="6"/>
        <v>504.91470305026411</v>
      </c>
      <c r="J103" s="1">
        <f t="shared" si="7"/>
        <v>9532.6466285463557</v>
      </c>
    </row>
    <row r="104" spans="6:10" x14ac:dyDescent="0.25">
      <c r="F104">
        <v>103</v>
      </c>
      <c r="G104" s="1">
        <f>J103</f>
        <v>9532.6466285463557</v>
      </c>
      <c r="H104" s="1">
        <f t="shared" si="5"/>
        <v>47.663233142731777</v>
      </c>
      <c r="I104" s="1">
        <f t="shared" si="6"/>
        <v>507.43927656551546</v>
      </c>
      <c r="J104" s="1">
        <f t="shared" si="7"/>
        <v>9025.20735198084</v>
      </c>
    </row>
    <row r="105" spans="6:10" x14ac:dyDescent="0.25">
      <c r="F105">
        <v>104</v>
      </c>
      <c r="G105" s="1">
        <f t="shared" si="4"/>
        <v>9025.20735198084</v>
      </c>
      <c r="H105" s="1">
        <f t="shared" si="5"/>
        <v>45.126036759904203</v>
      </c>
      <c r="I105" s="1">
        <f t="shared" si="6"/>
        <v>509.97647294834303</v>
      </c>
      <c r="J105" s="1">
        <f t="shared" si="7"/>
        <v>8515.2308790324969</v>
      </c>
    </row>
    <row r="106" spans="6:10" x14ac:dyDescent="0.25">
      <c r="F106">
        <v>105</v>
      </c>
      <c r="G106" s="1">
        <f t="shared" si="4"/>
        <v>8515.2308790324969</v>
      </c>
      <c r="H106" s="1">
        <f t="shared" si="5"/>
        <v>42.576154395162483</v>
      </c>
      <c r="I106" s="1">
        <f t="shared" si="6"/>
        <v>512.52635531308476</v>
      </c>
      <c r="J106" s="1">
        <f t="shared" si="7"/>
        <v>8002.7045237194125</v>
      </c>
    </row>
    <row r="107" spans="6:10" x14ac:dyDescent="0.25">
      <c r="F107">
        <v>106</v>
      </c>
      <c r="G107" s="1">
        <f t="shared" si="4"/>
        <v>8002.7045237194125</v>
      </c>
      <c r="H107" s="1">
        <f t="shared" si="5"/>
        <v>40.013522618597065</v>
      </c>
      <c r="I107" s="1">
        <f t="shared" si="6"/>
        <v>515.08898708965012</v>
      </c>
      <c r="J107" s="1">
        <f t="shared" si="7"/>
        <v>7487.6155366297626</v>
      </c>
    </row>
    <row r="108" spans="6:10" x14ac:dyDescent="0.25">
      <c r="F108">
        <v>107</v>
      </c>
      <c r="G108" s="1">
        <f t="shared" si="4"/>
        <v>7487.6155366297626</v>
      </c>
      <c r="H108" s="1">
        <f t="shared" si="5"/>
        <v>37.438077683148812</v>
      </c>
      <c r="I108" s="1">
        <f t="shared" si="6"/>
        <v>517.66443202509845</v>
      </c>
      <c r="J108" s="1">
        <f t="shared" si="7"/>
        <v>6969.9511046046646</v>
      </c>
    </row>
    <row r="109" spans="6:10" x14ac:dyDescent="0.25">
      <c r="F109">
        <v>108</v>
      </c>
      <c r="G109" s="1">
        <f t="shared" si="4"/>
        <v>6969.9511046046646</v>
      </c>
      <c r="H109" s="1">
        <f t="shared" si="5"/>
        <v>34.849755523023326</v>
      </c>
      <c r="I109" s="1">
        <f t="shared" si="6"/>
        <v>520.25275418522392</v>
      </c>
      <c r="J109" s="1">
        <f t="shared" si="7"/>
        <v>6449.6983504194404</v>
      </c>
    </row>
    <row r="110" spans="6:10" x14ac:dyDescent="0.25">
      <c r="F110">
        <v>109</v>
      </c>
      <c r="G110" s="1">
        <f t="shared" si="4"/>
        <v>6449.6983504194404</v>
      </c>
      <c r="H110" s="1">
        <f t="shared" si="5"/>
        <v>32.248491752097202</v>
      </c>
      <c r="I110" s="1">
        <f t="shared" si="6"/>
        <v>522.85401795615007</v>
      </c>
      <c r="J110" s="1">
        <f t="shared" si="7"/>
        <v>5926.8443324632899</v>
      </c>
    </row>
    <row r="111" spans="6:10" x14ac:dyDescent="0.25">
      <c r="F111">
        <v>110</v>
      </c>
      <c r="G111" s="1">
        <f t="shared" si="4"/>
        <v>5926.8443324632899</v>
      </c>
      <c r="H111" s="1">
        <f t="shared" si="5"/>
        <v>29.634221662316449</v>
      </c>
      <c r="I111" s="1">
        <f t="shared" si="6"/>
        <v>525.46828804593076</v>
      </c>
      <c r="J111" s="1">
        <f t="shared" si="7"/>
        <v>5401.3760444173595</v>
      </c>
    </row>
    <row r="112" spans="6:10" x14ac:dyDescent="0.25">
      <c r="F112">
        <v>111</v>
      </c>
      <c r="G112" s="1">
        <f t="shared" si="4"/>
        <v>5401.3760444173595</v>
      </c>
      <c r="H112" s="1">
        <f t="shared" si="5"/>
        <v>27.006880222086799</v>
      </c>
      <c r="I112" s="1">
        <f t="shared" si="6"/>
        <v>528.09562948616042</v>
      </c>
      <c r="J112" s="1">
        <f t="shared" si="7"/>
        <v>4873.2804149311987</v>
      </c>
    </row>
    <row r="113" spans="6:10" x14ac:dyDescent="0.25">
      <c r="F113">
        <v>112</v>
      </c>
      <c r="G113" s="1">
        <f t="shared" si="4"/>
        <v>4873.2804149311987</v>
      </c>
      <c r="H113" s="1">
        <f t="shared" si="5"/>
        <v>24.366402074655994</v>
      </c>
      <c r="I113" s="1">
        <f t="shared" si="6"/>
        <v>530.73610763359125</v>
      </c>
      <c r="J113" s="1">
        <f t="shared" si="7"/>
        <v>4342.5443072976077</v>
      </c>
    </row>
    <row r="114" spans="6:10" x14ac:dyDescent="0.25">
      <c r="F114">
        <v>113</v>
      </c>
      <c r="G114" s="1">
        <f t="shared" si="4"/>
        <v>4342.5443072976077</v>
      </c>
      <c r="H114" s="1">
        <f t="shared" si="5"/>
        <v>21.71272153648804</v>
      </c>
      <c r="I114" s="1">
        <f t="shared" si="6"/>
        <v>533.38978817175916</v>
      </c>
      <c r="J114" s="1">
        <f t="shared" si="7"/>
        <v>3809.1545191258483</v>
      </c>
    </row>
    <row r="115" spans="6:10" x14ac:dyDescent="0.25">
      <c r="F115">
        <v>114</v>
      </c>
      <c r="G115" s="1">
        <f t="shared" si="4"/>
        <v>3809.1545191258483</v>
      </c>
      <c r="H115" s="1">
        <f t="shared" si="5"/>
        <v>19.045772595629241</v>
      </c>
      <c r="I115" s="1">
        <f t="shared" si="6"/>
        <v>536.05673711261795</v>
      </c>
      <c r="J115" s="1">
        <f t="shared" si="7"/>
        <v>3273.0977820132302</v>
      </c>
    </row>
    <row r="116" spans="6:10" x14ac:dyDescent="0.25">
      <c r="F116">
        <v>115</v>
      </c>
      <c r="G116" s="1">
        <f t="shared" si="4"/>
        <v>3273.0977820132302</v>
      </c>
      <c r="H116" s="1">
        <f t="shared" si="5"/>
        <v>16.365488910066151</v>
      </c>
      <c r="I116" s="1">
        <f t="shared" si="6"/>
        <v>538.73702079818111</v>
      </c>
      <c r="J116" s="1">
        <f t="shared" si="7"/>
        <v>2734.360761215049</v>
      </c>
    </row>
    <row r="117" spans="6:10" x14ac:dyDescent="0.25">
      <c r="F117">
        <v>116</v>
      </c>
      <c r="G117" s="1">
        <f t="shared" si="4"/>
        <v>2734.360761215049</v>
      </c>
      <c r="H117" s="1">
        <f t="shared" si="5"/>
        <v>13.671803806075246</v>
      </c>
      <c r="I117" s="1">
        <f t="shared" si="6"/>
        <v>541.43070590217201</v>
      </c>
      <c r="J117" s="1">
        <f t="shared" si="7"/>
        <v>2192.9300553128769</v>
      </c>
    </row>
    <row r="118" spans="6:10" x14ac:dyDescent="0.25">
      <c r="F118">
        <v>117</v>
      </c>
      <c r="G118" s="1">
        <f t="shared" si="4"/>
        <v>2192.9300553128769</v>
      </c>
      <c r="H118" s="1">
        <f t="shared" si="5"/>
        <v>10.964650276564385</v>
      </c>
      <c r="I118" s="1">
        <f t="shared" si="6"/>
        <v>544.13785943168284</v>
      </c>
      <c r="J118" s="1">
        <f t="shared" si="7"/>
        <v>1648.7921958811939</v>
      </c>
    </row>
    <row r="119" spans="6:10" x14ac:dyDescent="0.25">
      <c r="F119">
        <v>118</v>
      </c>
      <c r="G119" s="1">
        <f t="shared" si="4"/>
        <v>1648.7921958811939</v>
      </c>
      <c r="H119" s="1">
        <f t="shared" si="5"/>
        <v>8.2439609794059692</v>
      </c>
      <c r="I119" s="1">
        <f t="shared" si="6"/>
        <v>546.85854872884124</v>
      </c>
      <c r="J119" s="1">
        <f t="shared" si="7"/>
        <v>1101.9336471523527</v>
      </c>
    </row>
    <row r="120" spans="6:10" x14ac:dyDescent="0.25">
      <c r="F120">
        <v>119</v>
      </c>
      <c r="G120" s="1">
        <f t="shared" si="4"/>
        <v>1101.9336471523527</v>
      </c>
      <c r="H120" s="1">
        <f t="shared" si="5"/>
        <v>5.5096682357617635</v>
      </c>
      <c r="I120" s="1">
        <f t="shared" si="6"/>
        <v>549.59284147248547</v>
      </c>
      <c r="J120" s="1">
        <f t="shared" si="7"/>
        <v>552.34080567986723</v>
      </c>
    </row>
    <row r="121" spans="6:10" x14ac:dyDescent="0.25">
      <c r="F121">
        <v>120</v>
      </c>
      <c r="G121" s="1">
        <f t="shared" si="4"/>
        <v>552.34080567986723</v>
      </c>
      <c r="H121" s="1">
        <f t="shared" si="5"/>
        <v>2.7617040283993362</v>
      </c>
      <c r="I121" s="1">
        <f t="shared" si="6"/>
        <v>552.3408056798479</v>
      </c>
      <c r="J121" s="1">
        <f t="shared" si="7"/>
        <v>1.9326762412674725E-11</v>
      </c>
    </row>
    <row r="122" spans="6:10" x14ac:dyDescent="0.25">
      <c r="H122" s="1"/>
      <c r="I1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2026-08-21T11:52:25Z</dcterms:created>
  <dcterms:modified xsi:type="dcterms:W3CDTF">2026-08-23T07:12:19Z</dcterms:modified>
</cp:coreProperties>
</file>
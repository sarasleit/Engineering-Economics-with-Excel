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0A1D54-0E03-4395-8A35-37D72A450927}" xr6:coauthVersionLast="47" xr6:coauthVersionMax="47" xr10:uidLastSave="{00000000-0000-0000-0000-000000000000}"/>
  <bookViews>
    <workbookView xWindow="-120" yWindow="-120" windowWidth="20730" windowHeight="11160" xr2:uid="{311F2FF0-FF27-4091-9CF9-B67E35FC7C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G14" i="1" s="1"/>
  <c r="E2" i="1"/>
  <c r="G2" i="1" s="1"/>
  <c r="F2" i="1"/>
  <c r="F3" i="1"/>
  <c r="G3" i="1" s="1"/>
  <c r="F4" i="1"/>
  <c r="F5" i="1"/>
  <c r="G5" i="1" s="1"/>
  <c r="G6" i="1"/>
  <c r="F6" i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B8" i="1"/>
  <c r="B7" i="1"/>
  <c r="B6" i="1"/>
  <c r="B2" i="1"/>
  <c r="B3" i="1"/>
  <c r="B11" i="1"/>
  <c r="B13" i="1"/>
  <c r="B1" i="1"/>
  <c r="G10" i="1" l="1"/>
  <c r="G4" i="1"/>
  <c r="B4" i="1"/>
  <c r="B15" i="1"/>
</calcChain>
</file>

<file path=xl/sharedStrings.xml><?xml version="1.0" encoding="utf-8"?>
<sst xmlns="http://schemas.openxmlformats.org/spreadsheetml/2006/main" count="16" uniqueCount="14">
  <si>
    <t>tax credit</t>
  </si>
  <si>
    <t xml:space="preserve">sticker price  hybrid </t>
  </si>
  <si>
    <t>sticker price gasoline-0nly</t>
  </si>
  <si>
    <t>annual miles</t>
  </si>
  <si>
    <t>fuel economy in miles</t>
  </si>
  <si>
    <t xml:space="preserve">fuel economy  in miles </t>
  </si>
  <si>
    <t xml:space="preserve">study period </t>
  </si>
  <si>
    <t xml:space="preserve">intrest paid </t>
  </si>
  <si>
    <t>hybird</t>
  </si>
  <si>
    <t>gas</t>
  </si>
  <si>
    <t xml:space="preserve">gallon cost </t>
  </si>
  <si>
    <t xml:space="preserve"> gallon </t>
  </si>
  <si>
    <t>breakeven point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</si>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</sst>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د.ا.‏&quot;;[Red]\-#,##0.00\ &quot;د.ا.‏&quot;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81714785651794"/>
          <c:y val="0.1300462962962963"/>
          <c:w val="0.77940507436570428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hybird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Sheet1!$D$2:$D$14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5.875</c:v>
                </c:pt>
                <c:pt idx="9">
                  <c:v>6.5</c:v>
                </c:pt>
                <c:pt idx="10">
                  <c:v>7.125</c:v>
                </c:pt>
                <c:pt idx="11">
                  <c:v>7.75</c:v>
                </c:pt>
                <c:pt idx="12">
                  <c:v>3.6392428566762582</c:v>
                </c:pt>
              </c:numCache>
            </c:numRef>
          </c:xVal>
          <c:yVal>
            <c:numRef>
              <c:f>Sheet1!$E$2:$E$14</c:f>
              <c:numCache>
                <c:formatCode>"د.ا.‏"#,##0.00_);[Red]\("د.ا.‏"#,##0.00\)</c:formatCode>
                <c:ptCount val="13"/>
                <c:pt idx="0">
                  <c:v>6550.6371420172809</c:v>
                </c:pt>
                <c:pt idx="1">
                  <c:v>7750.6371420172809</c:v>
                </c:pt>
                <c:pt idx="2">
                  <c:v>8050.6371420172809</c:v>
                </c:pt>
                <c:pt idx="3">
                  <c:v>8350.63714201728</c:v>
                </c:pt>
                <c:pt idx="4">
                  <c:v>8650.63714201728</c:v>
                </c:pt>
                <c:pt idx="5">
                  <c:v>8950.63714201728</c:v>
                </c:pt>
                <c:pt idx="6">
                  <c:v>9250.63714201728</c:v>
                </c:pt>
                <c:pt idx="7">
                  <c:v>9550.63714201728</c:v>
                </c:pt>
                <c:pt idx="8">
                  <c:v>10075.63714201728</c:v>
                </c:pt>
                <c:pt idx="9">
                  <c:v>10450.63714201728</c:v>
                </c:pt>
                <c:pt idx="10">
                  <c:v>10825.63714201728</c:v>
                </c:pt>
                <c:pt idx="11">
                  <c:v>11200.63714201728</c:v>
                </c:pt>
                <c:pt idx="12">
                  <c:v>8734.1828560230351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1-4886-9EC6-C94F1A48ED95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gas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Sheet1!$D$2:$D$14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5.875</c:v>
                </c:pt>
                <c:pt idx="9">
                  <c:v>6.5</c:v>
                </c:pt>
                <c:pt idx="10">
                  <c:v>7.125</c:v>
                </c:pt>
                <c:pt idx="11">
                  <c:v>7.75</c:v>
                </c:pt>
                <c:pt idx="12">
                  <c:v>3.6392428566762582</c:v>
                </c:pt>
              </c:numCache>
            </c:numRef>
          </c:xVal>
          <c:yVal>
            <c:numRef>
              <c:f>Sheet1!$F$2:$F$14</c:f>
              <c:numCache>
                <c:formatCode>General</c:formatCode>
                <c:ptCount val="13"/>
                <c:pt idx="0">
                  <c:v>6113.9279992161291</c:v>
                </c:pt>
                <c:pt idx="1">
                  <c:v>7553.9279992161291</c:v>
                </c:pt>
                <c:pt idx="2">
                  <c:v>7913.9279992161291</c:v>
                </c:pt>
                <c:pt idx="3">
                  <c:v>8273.9279992161282</c:v>
                </c:pt>
                <c:pt idx="4">
                  <c:v>8633.9279992161282</c:v>
                </c:pt>
                <c:pt idx="5">
                  <c:v>8993.9279992161282</c:v>
                </c:pt>
                <c:pt idx="6">
                  <c:v>9353.9279992161282</c:v>
                </c:pt>
                <c:pt idx="7">
                  <c:v>9713.9279992161282</c:v>
                </c:pt>
                <c:pt idx="8">
                  <c:v>10343.927999216128</c:v>
                </c:pt>
                <c:pt idx="9">
                  <c:v>10793.927999216128</c:v>
                </c:pt>
                <c:pt idx="10">
                  <c:v>11243.927999216128</c:v>
                </c:pt>
                <c:pt idx="11">
                  <c:v>11693.927999216128</c:v>
                </c:pt>
                <c:pt idx="12">
                  <c:v>8734.1828560230351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1-4886-9EC6-C94F1A48E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45792"/>
        <c:axId val="338559104"/>
      </c:scatterChart>
      <c:valAx>
        <c:axId val="33854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59104"/>
        <c:crosses val="autoZero"/>
        <c:crossBetween val="midCat"/>
      </c:valAx>
      <c:valAx>
        <c:axId val="3385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د.ا.‏&quot;#,##0.00_);[Red]\(&quot;د.ا.‏&quot;#,##0.00\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457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0</xdr:row>
      <xdr:rowOff>128587</xdr:rowOff>
    </xdr:from>
    <xdr:to>
      <xdr:col>15</xdr:col>
      <xdr:colOff>561975</xdr:colOff>
      <xdr:row>15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38FDA9-154B-61D6-18D0-2C8D8D3B2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FFE6-4B70-486D-86F0-6A8FD8FDC16D}">
  <dimension ref="A1:G18"/>
  <sheetViews>
    <sheetView tabSelected="1" workbookViewId="0">
      <selection activeCell="I18" sqref="I18"/>
    </sheetView>
  </sheetViews>
  <sheetFormatPr defaultRowHeight="15" x14ac:dyDescent="0.25"/>
  <cols>
    <col min="1" max="1" width="26.5703125" customWidth="1"/>
    <col min="2" max="2" width="13.85546875" customWidth="1"/>
    <col min="5" max="5" width="11.7109375" bestFit="1" customWidth="1"/>
    <col min="6" max="6" width="13.140625" customWidth="1"/>
    <col min="7" max="7" width="17" customWidth="1"/>
  </cols>
  <sheetData>
    <row r="1" spans="1:7" x14ac:dyDescent="0.25">
      <c r="A1" t="s">
        <v>1</v>
      </c>
      <c r="B1">
        <f>31500</f>
        <v>31500</v>
      </c>
      <c r="D1" t="s">
        <v>13</v>
      </c>
      <c r="E1" t="s">
        <v>8</v>
      </c>
      <c r="F1" t="s">
        <v>9</v>
      </c>
      <c r="G1" t="s">
        <v>12</v>
      </c>
    </row>
    <row r="2" spans="1:7" x14ac:dyDescent="0.25">
      <c r="A2" t="s">
        <v>0</v>
      </c>
      <c r="B2">
        <f>30000</f>
        <v>30000</v>
      </c>
      <c r="D2">
        <v>0</v>
      </c>
      <c r="E2" s="1">
        <f>(PMT($B$7,$B$6,-$B$2))+($B$4*D2)</f>
        <v>6550.6371420172809</v>
      </c>
      <c r="F2">
        <f>(PMT($B$7,$B$6,-B$11))+($B$15*D2)</f>
        <v>6113.9279992161291</v>
      </c>
      <c r="G2" s="1">
        <f>E2-F2</f>
        <v>436.70914280115176</v>
      </c>
    </row>
    <row r="3" spans="1:7" x14ac:dyDescent="0.25">
      <c r="A3" t="s">
        <v>5</v>
      </c>
      <c r="B3">
        <f>30</f>
        <v>30</v>
      </c>
      <c r="D3">
        <v>2</v>
      </c>
      <c r="E3" s="1">
        <f>(PMT($B$7,$B$6,-$B$2))+($B$4*D3)</f>
        <v>7750.6371420172809</v>
      </c>
      <c r="F3">
        <f t="shared" ref="F3:F14" si="0">(PMT($B$7,$B$6,-B$11))+($B$15*D3)</f>
        <v>7553.9279992161291</v>
      </c>
      <c r="G3" s="1">
        <f t="shared" ref="G3:G14" si="1">E3-F3</f>
        <v>196.70914280115176</v>
      </c>
    </row>
    <row r="4" spans="1:7" x14ac:dyDescent="0.25">
      <c r="A4" t="s">
        <v>11</v>
      </c>
      <c r="B4">
        <f>B8/B3</f>
        <v>600</v>
      </c>
      <c r="D4">
        <v>2.5</v>
      </c>
      <c r="E4" s="1">
        <f t="shared" ref="E4:E9" si="2">(PMT($B$7,$B$6,-$B$2))+($B$4*D4)</f>
        <v>8050.6371420172809</v>
      </c>
      <c r="F4">
        <f t="shared" si="0"/>
        <v>7913.9279992161291</v>
      </c>
      <c r="G4" s="1">
        <f t="shared" si="1"/>
        <v>136.70914280115176</v>
      </c>
    </row>
    <row r="5" spans="1:7" x14ac:dyDescent="0.25">
      <c r="B5" s="1"/>
      <c r="D5">
        <v>3</v>
      </c>
      <c r="E5" s="1">
        <f t="shared" si="2"/>
        <v>8350.63714201728</v>
      </c>
      <c r="F5">
        <f t="shared" si="0"/>
        <v>8273.9279992161282</v>
      </c>
      <c r="G5" s="1">
        <f t="shared" si="1"/>
        <v>76.709142801151756</v>
      </c>
    </row>
    <row r="6" spans="1:7" x14ac:dyDescent="0.25">
      <c r="A6" t="s">
        <v>6</v>
      </c>
      <c r="B6">
        <f>5</f>
        <v>5</v>
      </c>
      <c r="D6">
        <v>3.5</v>
      </c>
      <c r="E6" s="1">
        <f t="shared" si="2"/>
        <v>8650.63714201728</v>
      </c>
      <c r="F6">
        <f t="shared" si="0"/>
        <v>8633.9279992161282</v>
      </c>
      <c r="G6" s="1">
        <f t="shared" si="1"/>
        <v>16.709142801151756</v>
      </c>
    </row>
    <row r="7" spans="1:7" x14ac:dyDescent="0.25">
      <c r="A7" t="s">
        <v>7</v>
      </c>
      <c r="B7">
        <f>0.03</f>
        <v>0.03</v>
      </c>
      <c r="D7">
        <v>4</v>
      </c>
      <c r="E7" s="1">
        <f t="shared" si="2"/>
        <v>8950.63714201728</v>
      </c>
      <c r="F7">
        <f t="shared" si="0"/>
        <v>8993.9279992161282</v>
      </c>
      <c r="G7" s="1">
        <f t="shared" si="1"/>
        <v>-43.290857198848244</v>
      </c>
    </row>
    <row r="8" spans="1:7" x14ac:dyDescent="0.25">
      <c r="A8" t="s">
        <v>3</v>
      </c>
      <c r="B8">
        <f>18000</f>
        <v>18000</v>
      </c>
      <c r="D8">
        <v>4.5</v>
      </c>
      <c r="E8" s="1">
        <f t="shared" si="2"/>
        <v>9250.63714201728</v>
      </c>
      <c r="F8">
        <f t="shared" si="0"/>
        <v>9353.9279992161282</v>
      </c>
      <c r="G8" s="1">
        <f t="shared" si="1"/>
        <v>-103.29085719884824</v>
      </c>
    </row>
    <row r="9" spans="1:7" x14ac:dyDescent="0.25">
      <c r="D9">
        <v>5</v>
      </c>
      <c r="E9" s="1">
        <f t="shared" si="2"/>
        <v>9550.63714201728</v>
      </c>
      <c r="F9">
        <f t="shared" si="0"/>
        <v>9713.9279992161282</v>
      </c>
      <c r="G9" s="1">
        <f t="shared" si="1"/>
        <v>-163.29085719884824</v>
      </c>
    </row>
    <row r="10" spans="1:7" x14ac:dyDescent="0.25">
      <c r="D10">
        <v>5.875</v>
      </c>
      <c r="E10" s="1">
        <f>(PMT($B$7,$B$6,-$B$2))+($B$4*D10)</f>
        <v>10075.63714201728</v>
      </c>
      <c r="F10">
        <f>(PMT($B$7,$B$6,-B$11))+($B$15*D10)</f>
        <v>10343.927999216128</v>
      </c>
      <c r="G10" s="1">
        <f t="shared" si="1"/>
        <v>-268.29085719884824</v>
      </c>
    </row>
    <row r="11" spans="1:7" x14ac:dyDescent="0.25">
      <c r="A11" t="s">
        <v>2</v>
      </c>
      <c r="B11">
        <f>28000</f>
        <v>28000</v>
      </c>
      <c r="D11">
        <v>6.5</v>
      </c>
      <c r="E11" s="1">
        <f>(PMT($B$7,$B$6,-$B$2))+($B$4*D11)</f>
        <v>10450.63714201728</v>
      </c>
      <c r="F11">
        <f t="shared" si="0"/>
        <v>10793.927999216128</v>
      </c>
      <c r="G11" s="1">
        <f t="shared" si="1"/>
        <v>-343.29085719884824</v>
      </c>
    </row>
    <row r="12" spans="1:7" x14ac:dyDescent="0.25">
      <c r="A12" t="s">
        <v>0</v>
      </c>
      <c r="D12">
        <v>7.125</v>
      </c>
      <c r="E12" s="1">
        <f t="shared" ref="E12:E14" si="3">(PMT($B$7,$B$6,-$B$2))+($B$4*D12)</f>
        <v>10825.63714201728</v>
      </c>
      <c r="F12">
        <f t="shared" si="0"/>
        <v>11243.927999216128</v>
      </c>
      <c r="G12" s="1">
        <f t="shared" si="1"/>
        <v>-418.29085719884824</v>
      </c>
    </row>
    <row r="13" spans="1:7" x14ac:dyDescent="0.25">
      <c r="A13" t="s">
        <v>4</v>
      </c>
      <c r="B13">
        <f>25</f>
        <v>25</v>
      </c>
      <c r="D13">
        <v>7.75</v>
      </c>
      <c r="E13" s="1">
        <f t="shared" si="3"/>
        <v>11200.63714201728</v>
      </c>
      <c r="F13">
        <f t="shared" si="0"/>
        <v>11693.927999216128</v>
      </c>
      <c r="G13" s="1">
        <f t="shared" si="1"/>
        <v>-493.29085719884824</v>
      </c>
    </row>
    <row r="14" spans="1:7" x14ac:dyDescent="0.25">
      <c r="B14" s="1"/>
      <c r="D14">
        <v>3.6392428566762582</v>
      </c>
      <c r="E14" s="1">
        <f t="shared" si="3"/>
        <v>8734.1828560230351</v>
      </c>
      <c r="F14">
        <f t="shared" si="0"/>
        <v>8734.1828560230351</v>
      </c>
      <c r="G14" s="1">
        <f t="shared" si="1"/>
        <v>0</v>
      </c>
    </row>
    <row r="15" spans="1:7" x14ac:dyDescent="0.25">
      <c r="A15" t="s">
        <v>11</v>
      </c>
      <c r="B15">
        <f>B8/B13</f>
        <v>720</v>
      </c>
    </row>
    <row r="18" spans="1:2" x14ac:dyDescent="0.25">
      <c r="A18" t="s">
        <v>10</v>
      </c>
      <c r="B1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2026-08-21T16:45:11Z</dcterms:created>
  <dcterms:modified xsi:type="dcterms:W3CDTF">2026-08-22T13:26:44Z</dcterms:modified>
</cp:coreProperties>
</file>